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esktop\DSA\"/>
    </mc:Choice>
  </mc:AlternateContent>
  <xr:revisionPtr revIDLastSave="0" documentId="13_ncr:1_{2E93E71E-2D96-4BC8-913D-D374D6061907}" xr6:coauthVersionLast="47" xr6:coauthVersionMax="47" xr10:uidLastSave="{00000000-0000-0000-0000-000000000000}"/>
  <bookViews>
    <workbookView xWindow="-98" yWindow="-98" windowWidth="21795" windowHeight="11625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3" i="2"/>
  <c r="B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<sst xmlns="http://schemas.openxmlformats.org/spreadsheetml/2006/main" count="806" uniqueCount="304">
  <si>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</si>
  <si>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</si>
  <si>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</si>
  <si>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</si>
  <si>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</si>
  <si>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</si>
  <si>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</si>
  <si>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</si>
  <si>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</si>
  <si>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</si>
  <si>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</si>
  <si>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</si>
  <si>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</si>
  <si>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</si>
  <si>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</si>
  <si>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</si>
  <si>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</si>
  <si>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</si>
  <si>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</si>
  <si>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</si>
  <si>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</si>
  <si>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</si>
  <si>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</si>
  <si>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</si>
  <si>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</si>
  <si>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</si>
  <si>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</si>
  <si>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</si>
  <si>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</si>
  <si>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</si>
  <si>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</si>
  <si>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</si>
  <si>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</si>
  <si>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</si>
  <si>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</si>
  <si>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</si>
  <si>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</si>
  <si>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</si>
  <si>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</si>
  <si>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</si>
  <si>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</si>
  <si>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</si>
  <si>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</si>
  <si>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</si>
  <si>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</si>
  <si>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</si>
  <si>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</si>
  <si>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</si>
  <si>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</si>
  <si>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</si>
  <si>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</si>
  <si>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</si>
  <si>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</si>
  <si>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</si>
  <si>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</si>
  <si>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</si>
  <si>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</si>
  <si>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</si>
  <si>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</si>
  <si>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</si>
  <si>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</si>
  <si>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</si>
  <si>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</si>
  <si>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</si>
  <si>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</si>
  <si>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</si>
  <si>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</si>
  <si>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</si>
  <si>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</si>
  <si>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</si>
  <si>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</si>
  <si>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</si>
  <si>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</si>
  <si>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</si>
  <si>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</si>
  <si>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</si>
  <si>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</si>
  <si>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</si>
  <si>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</si>
  <si>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</si>
  <si>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</si>
  <si>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</si>
  <si>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</si>
  <si>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</si>
  <si>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</si>
  <si>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</si>
  <si>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</si>
  <si>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</si>
  <si>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</si>
  <si>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</si>
  <si>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</si>
  <si>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</si>
  <si>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</si>
  <si>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</si>
  <si>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</si>
  <si>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</si>
  <si>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</si>
  <si>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</si>
  <si>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</si>
  <si>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</si>
  <si>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</si>
  <si>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</si>
  <si>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</si>
  <si>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</si>
  <si>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</si>
  <si>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</si>
  <si>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</si>
  <si>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</si>
  <si>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</si>
  <si>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</si>
  <si>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</si>
  <si>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</si>
  <si>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</si>
  <si>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</si>
  <si>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</si>
  <si>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</si>
  <si>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</si>
  <si>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</si>
  <si>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</si>
  <si>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</si>
  <si>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</si>
  <si>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</si>
  <si>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</si>
  <si>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</si>
  <si>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</si>
  <si>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</si>
  <si>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</si>
  <si>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</si>
  <si>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</si>
  <si>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</si>
  <si>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</si>
  <si>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</si>
  <si>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</si>
  <si>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</si>
  <si>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</si>
  <si>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</si>
  <si>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</si>
  <si>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</si>
  <si>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</si>
  <si>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</si>
  <si>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</si>
  <si>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</si>
  <si>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</si>
  <si>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</si>
  <si>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</si>
  <si>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</si>
  <si>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</si>
  <si>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</si>
  <si>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</si>
  <si>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</si>
  <si>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</si>
  <si>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</si>
  <si>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</si>
  <si>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</si>
  <si>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</si>
  <si>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</si>
  <si>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</si>
  <si>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</si>
  <si>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</si>
  <si>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</si>
  <si>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</si>
  <si>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</si>
  <si>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</si>
  <si>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</si>
  <si>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</si>
  <si>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</si>
  <si>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</si>
  <si>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</si>
  <si>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</si>
  <si>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</si>
  <si>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</si>
  <si>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</si>
  <si>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</si>
  <si>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</si>
  <si>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</si>
  <si>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</si>
  <si>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</si>
  <si>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</si>
  <si>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</si>
  <si>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</si>
  <si>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</si>
  <si>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</si>
  <si>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</si>
  <si>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</si>
  <si>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</si>
  <si>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</si>
  <si>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</si>
  <si>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</si>
  <si>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</si>
  <si>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</si>
  <si>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</si>
  <si>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</si>
  <si>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</si>
  <si>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</si>
  <si>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</si>
  <si>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</si>
  <si>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</si>
  <si>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</si>
  <si>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</si>
  <si>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</si>
  <si>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</si>
  <si>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</si>
  <si>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</si>
  <si>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</si>
  <si>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</si>
  <si>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</si>
  <si>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</si>
  <si>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</si>
  <si>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</si>
  <si>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</si>
  <si>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</si>
  <si>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</si>
  <si>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</si>
  <si>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</si>
  <si>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</si>
  <si>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</si>
  <si>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</si>
  <si>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</si>
  <si>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</si>
  <si>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</si>
  <si>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</si>
  <si>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</si>
  <si>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</si>
  <si>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</si>
  <si>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</si>
  <si>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</si>
  <si>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</si>
  <si>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</si>
  <si>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</si>
  <si>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</si>
  <si>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</si>
  <si>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</si>
  <si>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</si>
  <si>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</si>
  <si>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</si>
  <si>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</si>
  <si>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</si>
  <si>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</si>
  <si>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</si>
  <si>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</si>
  <si>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</si>
  <si>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</si>
  <si>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</si>
  <si>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</si>
  <si>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</si>
  <si>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</si>
  <si>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</si>
  <si>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</si>
  <si>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</si>
  <si>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</si>
  <si>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</si>
  <si>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</si>
  <si>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</si>
  <si>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</si>
  <si>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</si>
  <si>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</si>
  <si>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</si>
  <si>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</si>
  <si>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</si>
  <si>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</si>
  <si>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</si>
  <si>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</si>
  <si>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</si>
  <si>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</si>
  <si>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</si>
  <si>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</si>
  <si>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</si>
  <si>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</si>
  <si>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</si>
  <si>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</si>
  <si>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</si>
  <si>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</si>
  <si>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</si>
  <si>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</si>
  <si>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</si>
  <si>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</si>
  <si>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</si>
  <si>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</si>
  <si>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</si>
  <si>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</si>
  <si>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</si>
  <si>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</si>
  <si>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</si>
  <si>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</si>
  <si>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</si>
  <si>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</si>
  <si>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</si>
  <si>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</si>
  <si>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</si>
  <si>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</si>
  <si>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</si>
  <si>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</si>
  <si>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</si>
  <si>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</si>
  <si>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</si>
  <si>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</si>
  <si>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</si>
  <si>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</si>
  <si>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</si>
  <si>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</si>
  <si>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</si>
  <si>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</si>
  <si>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completed</t>
  </si>
  <si>
    <t>completed(not)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</si>
</sst>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group-anagrams/" TargetMode="External"/><Relationship Id="rId42" Type="http://schemas.openxmlformats.org/officeDocument/2006/relationships/hyperlink" Target="https://leetcode.com/problems/capacity-to-ship-packages-within-d-days/" TargetMode="External"/><Relationship Id="rId47" Type="http://schemas.openxmlformats.org/officeDocument/2006/relationships/hyperlink" Target="https://leetcode.com/problems/kth-smallest-element-in-a-bst/" TargetMode="External"/><Relationship Id="rId63" Type="http://schemas.openxmlformats.org/officeDocument/2006/relationships/hyperlink" Target="https://leetcode.com/problems/palindrome-partitioning/" TargetMode="External"/><Relationship Id="rId68" Type="http://schemas.openxmlformats.org/officeDocument/2006/relationships/hyperlink" Target="https://leetcode.com/problems/coin-change/" TargetMode="External"/><Relationship Id="rId84" Type="http://schemas.openxmlformats.org/officeDocument/2006/relationships/hyperlink" Target="https://leetcode.com/problems/top-k-frequent-words/" TargetMode="External"/><Relationship Id="rId89" Type="http://schemas.openxmlformats.org/officeDocument/2006/relationships/hyperlink" Target="https://leetcode.com/problems/insert-interval/" TargetMode="External"/><Relationship Id="rId112" Type="http://schemas.openxmlformats.org/officeDocument/2006/relationships/hyperlink" Target="https://leetcode.com/problems/remove-linked-list-elements/" TargetMode="External"/><Relationship Id="rId16" Type="http://schemas.openxmlformats.org/officeDocument/2006/relationships/hyperlink" Target="https://leetcode.com/problems/fruit-into-baskets/" TargetMode="External"/><Relationship Id="rId107" Type="http://schemas.openxmlformats.org/officeDocument/2006/relationships/hyperlink" Target="https://leetcode.com/problems/binary-search/" TargetMode="External"/><Relationship Id="rId11" Type="http://schemas.openxmlformats.org/officeDocument/2006/relationships/hyperlink" Target="https://leetcode.com/problems/sort-colors/" TargetMode="External"/><Relationship Id="rId32" Type="http://schemas.openxmlformats.org/officeDocument/2006/relationships/hyperlink" Target="https://leetcode.com/problems/copy-list-with-random-pointer/" TargetMode="External"/><Relationship Id="rId37" Type="http://schemas.openxmlformats.org/officeDocument/2006/relationships/hyperlink" Target="https://leetcode.com/problems/asteroid-collision/" TargetMode="External"/><Relationship Id="rId53" Type="http://schemas.openxmlformats.org/officeDocument/2006/relationships/hyperlink" Target="https://leetcode.com/problems/pacific-atlantic-water-flow/" TargetMode="External"/><Relationship Id="rId58" Type="http://schemas.openxmlformats.org/officeDocument/2006/relationships/hyperlink" Target="https://leetcode.com/problems/permutations/" TargetMode="External"/><Relationship Id="rId74" Type="http://schemas.openxmlformats.org/officeDocument/2006/relationships/hyperlink" Target="https://leetcode.com/problems/unique-paths/" TargetMode="External"/><Relationship Id="rId79" Type="http://schemas.openxmlformats.org/officeDocument/2006/relationships/hyperlink" Target="https://leetcode.com/problems/target-sum/" TargetMode="External"/><Relationship Id="rId102" Type="http://schemas.openxmlformats.org/officeDocument/2006/relationships/hyperlink" Target="https://leetcode.com/problems/same-tree/" TargetMode="External"/><Relationship Id="rId123" Type="http://schemas.openxmlformats.org/officeDocument/2006/relationships/hyperlink" Target="https://leetcode.com/problems/isomorphic-strings/" TargetMode="External"/><Relationship Id="rId128" Type="http://schemas.openxmlformats.org/officeDocument/2006/relationships/hyperlink" Target="https://leetcode.com/problems/contains-duplicate/" TargetMode="External"/><Relationship Id="rId5" Type="http://schemas.openxmlformats.org/officeDocument/2006/relationships/hyperlink" Target="https://leetcode.com/problems/plus-one/" TargetMode="External"/><Relationship Id="rId90" Type="http://schemas.openxmlformats.org/officeDocument/2006/relationships/hyperlink" Target="https://leetcode.com/problems/merge-intervals/" TargetMode="External"/><Relationship Id="rId95" Type="http://schemas.openxmlformats.org/officeDocument/2006/relationships/hyperlink" Target="https://leetcode.com/problems/last-stone-weight/" TargetMode="External"/><Relationship Id="rId22" Type="http://schemas.openxmlformats.org/officeDocument/2006/relationships/hyperlink" Target="https://leetcode.com/problems/top-k-frequent-elements/" TargetMode="External"/><Relationship Id="rId27" Type="http://schemas.openxmlformats.org/officeDocument/2006/relationships/hyperlink" Target="https://leetcode.com/problems/integer-to-roman/" TargetMode="External"/><Relationship Id="rId43" Type="http://schemas.openxmlformats.org/officeDocument/2006/relationships/hyperlink" Target="https://leetcode.com/problems/binary-tree-level-order-traversal/" TargetMode="External"/><Relationship Id="rId48" Type="http://schemas.openxmlformats.org/officeDocument/2006/relationships/hyperlink" Target="https://leetcode.com/problems/number-of-islands/" TargetMode="External"/><Relationship Id="rId64" Type="http://schemas.openxmlformats.org/officeDocument/2006/relationships/hyperlink" Target="https://leetcode.com/problems/n-queens/" TargetMode="External"/><Relationship Id="rId69" Type="http://schemas.openxmlformats.org/officeDocument/2006/relationships/hyperlink" Target="https://leetcode.com/problems/maximum-product-subarray/" TargetMode="External"/><Relationship Id="rId113" Type="http://schemas.openxmlformats.org/officeDocument/2006/relationships/hyperlink" Target="https://leetcode.com/problems/middle-of-the-linked-list/" TargetMode="External"/><Relationship Id="rId118" Type="http://schemas.openxmlformats.org/officeDocument/2006/relationships/hyperlink" Target="https://leetcode.com/problems/longest-common-prefix/" TargetMode="External"/><Relationship Id="rId80" Type="http://schemas.openxmlformats.org/officeDocument/2006/relationships/hyperlink" Target="https://leetcode.com/problems/interleaving-string/" TargetMode="External"/><Relationship Id="rId85" Type="http://schemas.openxmlformats.org/officeDocument/2006/relationships/hyperlink" Target="https://leetcode.com/problems/task-scheduler/" TargetMode="External"/><Relationship Id="rId12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longest-repeating-character-replacement/" TargetMode="External"/><Relationship Id="rId33" Type="http://schemas.openxmlformats.org/officeDocument/2006/relationships/hyperlink" Target="https://leetcode.com/problems/min-stack/" TargetMode="External"/><Relationship Id="rId38" Type="http://schemas.openxmlformats.org/officeDocument/2006/relationships/hyperlink" Target="https://leetcode.com/problems/find-peak-element/" TargetMode="External"/><Relationship Id="rId59" Type="http://schemas.openxmlformats.org/officeDocument/2006/relationships/hyperlink" Target="https://leetcode.com/problems/combinations/" TargetMode="External"/><Relationship Id="rId103" Type="http://schemas.openxmlformats.org/officeDocument/2006/relationships/hyperlink" Target="https://leetcode.com/problems/invert-binary-tree/" TargetMode="External"/><Relationship Id="rId108" Type="http://schemas.openxmlformats.org/officeDocument/2006/relationships/hyperlink" Target="https://leetcode.com/problems/next-greater-element-i/" TargetMode="External"/><Relationship Id="rId124" Type="http://schemas.openxmlformats.org/officeDocument/2006/relationships/hyperlink" Target="https://leetcode.com/problems/valid-anagram/" TargetMode="External"/><Relationship Id="rId129" Type="http://schemas.openxmlformats.org/officeDocument/2006/relationships/hyperlink" Target="https://leetcode.com/problems/best-time-to-buy-and-sell-stock/" TargetMode="External"/><Relationship Id="rId54" Type="http://schemas.openxmlformats.org/officeDocument/2006/relationships/hyperlink" Target="https://leetcode.com/problems/word-search/" TargetMode="External"/><Relationship Id="rId70" Type="http://schemas.openxmlformats.org/officeDocument/2006/relationships/hyperlink" Target="https://leetcode.com/problems/word-break/" TargetMode="External"/><Relationship Id="rId75" Type="http://schemas.openxmlformats.org/officeDocument/2006/relationships/hyperlink" Target="https://leetcode.com/problems/minimum-path-sum/" TargetMode="External"/><Relationship Id="rId91" Type="http://schemas.openxmlformats.org/officeDocument/2006/relationships/hyperlink" Target="https://leetcode.com/problems/non-overlapping-intervals/" TargetMode="External"/><Relationship Id="rId96" Type="http://schemas.openxmlformats.org/officeDocument/2006/relationships/hyperlink" Target="https://leetcode.com/problems/climbing-stairs/" TargetMode="External"/><Relationship Id="rId1" Type="http://schemas.openxmlformats.org/officeDocument/2006/relationships/hyperlink" Target="https://leetcode.com/problems/maximum-subarray/" TargetMode="External"/><Relationship Id="rId6" Type="http://schemas.openxmlformats.org/officeDocument/2006/relationships/hyperlink" Target="https://leetcode.com/problems/remove-duplicates-from-sorted-array/" TargetMode="External"/><Relationship Id="rId23" Type="http://schemas.openxmlformats.org/officeDocument/2006/relationships/hyperlink" Target="https://leetcode.com/problems/product-of-array-except-self/" TargetMode="External"/><Relationship Id="rId28" Type="http://schemas.openxmlformats.org/officeDocument/2006/relationships/hyperlink" Target="https://leetcode.com/problems/zigzag-conversion/" TargetMode="External"/><Relationship Id="rId49" Type="http://schemas.openxmlformats.org/officeDocument/2006/relationships/hyperlink" Target="https://leetcode.com/problems/max-area-of-island/" TargetMode="External"/><Relationship Id="rId114" Type="http://schemas.openxmlformats.org/officeDocument/2006/relationships/hyperlink" Target="https://leetcode.com/problems/linked-list-cycle/" TargetMode="External"/><Relationship Id="rId119" Type="http://schemas.openxmlformats.org/officeDocument/2006/relationships/hyperlink" Target="https://leetcode.com/problems/find-the-index-of-the-first-occurrence-in-a-string/" TargetMode="External"/><Relationship Id="rId44" Type="http://schemas.openxmlformats.org/officeDocument/2006/relationships/hyperlink" Target="https://leetcode.com/problems/lowest-common-ancestor-of-a-binary-search-tree/" TargetMode="External"/><Relationship Id="rId60" Type="http://schemas.openxmlformats.org/officeDocument/2006/relationships/hyperlink" Target="https://leetcode.com/problems/combination-sum/" TargetMode="External"/><Relationship Id="rId65" Type="http://schemas.openxmlformats.org/officeDocument/2006/relationships/hyperlink" Target="https://leetcode.com/problems/house-robber/" TargetMode="External"/><Relationship Id="rId81" Type="http://schemas.openxmlformats.org/officeDocument/2006/relationships/hyperlink" Target="https://leetcode.com/problems/edit-distance/" TargetMode="External"/><Relationship Id="rId86" Type="http://schemas.openxmlformats.org/officeDocument/2006/relationships/hyperlink" Target="https://leetcode.com/problems/find-median-from-data-stream/" TargetMode="External"/><Relationship Id="rId130" Type="http://schemas.openxmlformats.org/officeDocument/2006/relationships/hyperlink" Target="https://leetcode.com/problems/two-sum/" TargetMode="External"/><Relationship Id="rId13" Type="http://schemas.openxmlformats.org/officeDocument/2006/relationships/hyperlink" Target="https://leetcode.com/problems/container-with-most-water/" TargetMode="External"/><Relationship Id="rId18" Type="http://schemas.openxmlformats.org/officeDocument/2006/relationships/hyperlink" Target="https://leetcode.com/problems/find-all-anagrams-in-a-string/" TargetMode="External"/><Relationship Id="rId39" Type="http://schemas.openxmlformats.org/officeDocument/2006/relationships/hyperlink" Target="https://leetcode.com/problems/search-in-rotated-sorted-array/" TargetMode="External"/><Relationship Id="rId109" Type="http://schemas.openxmlformats.org/officeDocument/2006/relationships/hyperlink" Target="https://leetcode.com/problems/implement-stack-using-queues/" TargetMode="External"/><Relationship Id="rId34" Type="http://schemas.openxmlformats.org/officeDocument/2006/relationships/hyperlink" Target="https://leetcode.com/problems/evaluate-reverse-polish-notation/" TargetMode="External"/><Relationship Id="rId50" Type="http://schemas.openxmlformats.org/officeDocument/2006/relationships/hyperlink" Target="https://leetcode.com/problems/clone-graph/" TargetMode="External"/><Relationship Id="rId55" Type="http://schemas.openxmlformats.org/officeDocument/2006/relationships/hyperlink" Target="https://leetcode.com/problems/surrounded-regions/" TargetMode="External"/><Relationship Id="rId76" Type="http://schemas.openxmlformats.org/officeDocument/2006/relationships/hyperlink" Target="https://leetcode.com/problems/triangle/" TargetMode="External"/><Relationship Id="rId97" Type="http://schemas.openxmlformats.org/officeDocument/2006/relationships/hyperlink" Target="https://leetcode.com/problems/flood-fill/" TargetMode="External"/><Relationship Id="rId104" Type="http://schemas.openxmlformats.org/officeDocument/2006/relationships/hyperlink" Target="https://leetcode.com/problems/maximum-depth-of-binary-tree/" TargetMode="External"/><Relationship Id="rId120" Type="http://schemas.openxmlformats.org/officeDocument/2006/relationships/hyperlink" Target="https://leetcode.com/problems/valid-parentheses/" TargetMode="External"/><Relationship Id="rId125" Type="http://schemas.openxmlformats.org/officeDocument/2006/relationships/hyperlink" Target="https://leetcode.com/problems/maximum-average-subarray-i/" TargetMode="External"/><Relationship Id="rId7" Type="http://schemas.openxmlformats.org/officeDocument/2006/relationships/hyperlink" Target="https://leetcode.com/problems/merge-sorted-array/" TargetMode="External"/><Relationship Id="rId71" Type="http://schemas.openxmlformats.org/officeDocument/2006/relationships/hyperlink" Target="https://leetcode.com/problems/decode-ways/" TargetMode="External"/><Relationship Id="rId92" Type="http://schemas.openxmlformats.org/officeDocument/2006/relationships/hyperlink" Target="https://leetcode.com/problems/lru-cache/" TargetMode="External"/><Relationship Id="rId2" Type="http://schemas.openxmlformats.org/officeDocument/2006/relationships/hyperlink" Target="https://leetcode.com/problems/move-zeroes/" TargetMode="External"/><Relationship Id="rId29" Type="http://schemas.openxmlformats.org/officeDocument/2006/relationships/hyperlink" Target="https://leetcode.com/problems/remove-nth-node-from-end-of-list/" TargetMode="External"/><Relationship Id="rId24" Type="http://schemas.openxmlformats.org/officeDocument/2006/relationships/hyperlink" Target="https://leetcode.com/problems/longest-consecutive-sequence/" TargetMode="External"/><Relationship Id="rId40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validate-binary-search-tree/" TargetMode="External"/><Relationship Id="rId66" Type="http://schemas.openxmlformats.org/officeDocument/2006/relationships/hyperlink" Target="https://leetcode.com/problems/house-robber-ii/" TargetMode="External"/><Relationship Id="rId87" Type="http://schemas.openxmlformats.org/officeDocument/2006/relationships/hyperlink" Target="https://leetcode.com/problems/jump-game/" TargetMode="External"/><Relationship Id="rId110" Type="http://schemas.openxmlformats.org/officeDocument/2006/relationships/hyperlink" Target="https://leetcode.com/problems/implement-queue-using-stacks/" TargetMode="External"/><Relationship Id="rId115" Type="http://schemas.openxmlformats.org/officeDocument/2006/relationships/hyperlink" Target="https://leetcode.com/problems/merge-two-sorted-lists/" TargetMode="External"/><Relationship Id="rId131" Type="http://schemas.openxmlformats.org/officeDocument/2006/relationships/vmlDrawing" Target="../drawings/vmlDrawing1.vml"/><Relationship Id="rId61" Type="http://schemas.openxmlformats.org/officeDocument/2006/relationships/hyperlink" Target="https://leetcode.com/problems/letter-combinations-of-a-phone-number/" TargetMode="External"/><Relationship Id="rId82" Type="http://schemas.openxmlformats.org/officeDocument/2006/relationships/hyperlink" Target="https://leetcode.com/problems/kth-largest-element-in-an-array/" TargetMode="External"/><Relationship Id="rId19" Type="http://schemas.openxmlformats.org/officeDocument/2006/relationships/hyperlink" Target="https://leetcode.com/problems/permutation-in-string/" TargetMode="External"/><Relationship Id="rId14" Type="http://schemas.openxmlformats.org/officeDocument/2006/relationships/hyperlink" Target="https://leetcode.com/problems/longest-substring-without-repeating-characters/" TargetMode="External"/><Relationship Id="rId30" Type="http://schemas.openxmlformats.org/officeDocument/2006/relationships/hyperlink" Target="https://leetcode.com/problems/add-two-numbers/" TargetMode="External"/><Relationship Id="rId35" Type="http://schemas.openxmlformats.org/officeDocument/2006/relationships/hyperlink" Target="https://leetcode.com/problems/daily-temperatures/" TargetMode="External"/><Relationship Id="rId56" Type="http://schemas.openxmlformats.org/officeDocument/2006/relationships/hyperlink" Target="https://leetcode.com/problems/is-graph-bipartite/" TargetMode="External"/><Relationship Id="rId77" Type="http://schemas.openxmlformats.org/officeDocument/2006/relationships/hyperlink" Target="https://leetcode.com/problems/longest-common-subsequence/" TargetMode="External"/><Relationship Id="rId100" Type="http://schemas.openxmlformats.org/officeDocument/2006/relationships/hyperlink" Target="https://leetcode.com/problems/balanced-binary-tree/" TargetMode="External"/><Relationship Id="rId105" Type="http://schemas.openxmlformats.org/officeDocument/2006/relationships/hyperlink" Target="https://leetcode.com/problems/first-bad-version/" TargetMode="External"/><Relationship Id="rId126" Type="http://schemas.openxmlformats.org/officeDocument/2006/relationships/hyperlink" Target="https://leetcode.com/problems/squares-of-a-sorted-array/" TargetMode="External"/><Relationship Id="rId8" Type="http://schemas.openxmlformats.org/officeDocument/2006/relationships/hyperlink" Target="https://leetcode.com/problems/valid-palindrome/" TargetMode="External"/><Relationship Id="rId51" Type="http://schemas.openxmlformats.org/officeDocument/2006/relationships/hyperlink" Target="https://leetcode.com/problems/course-schedule/" TargetMode="External"/><Relationship Id="rId72" Type="http://schemas.openxmlformats.org/officeDocument/2006/relationships/hyperlink" Target="https://leetcode.com/problems/partition-equal-subset-sum/" TargetMode="External"/><Relationship Id="rId93" Type="http://schemas.openxmlformats.org/officeDocument/2006/relationships/hyperlink" Target="https://leetcode.com/problems/implement-trie-prefix-tree/" TargetMode="External"/><Relationship Id="rId98" Type="http://schemas.openxmlformats.org/officeDocument/2006/relationships/hyperlink" Target="https://leetcode.com/problems/path-sum/" TargetMode="External"/><Relationship Id="rId121" Type="http://schemas.openxmlformats.org/officeDocument/2006/relationships/hyperlink" Target="https://leetcode.com/problems/ransom-note/" TargetMode="External"/><Relationship Id="rId3" Type="http://schemas.openxmlformats.org/officeDocument/2006/relationships/hyperlink" Target="https://leetcode.com/problems/single-number/" TargetMode="External"/><Relationship Id="rId25" Type="http://schemas.openxmlformats.org/officeDocument/2006/relationships/hyperlink" Target="https://leetcode.com/problems/reverse-words-in-a-string/" TargetMode="External"/><Relationship Id="rId46" Type="http://schemas.openxmlformats.org/officeDocument/2006/relationships/hyperlink" Target="https://leetcode.com/problems/binary-tree-right-side-view/" TargetMode="External"/><Relationship Id="rId67" Type="http://schemas.openxmlformats.org/officeDocument/2006/relationships/hyperlink" Target="https://leetcode.com/problems/longest-increasing-subsequence/" TargetMode="External"/><Relationship Id="rId116" Type="http://schemas.openxmlformats.org/officeDocument/2006/relationships/hyperlink" Target="https://leetcode.com/problems/reverse-linked-list/" TargetMode="External"/><Relationship Id="rId20" Type="http://schemas.openxmlformats.org/officeDocument/2006/relationships/hyperlink" Target="https://leetcode.com/problems/sliding-window-maximum/" TargetMode="External"/><Relationship Id="rId41" Type="http://schemas.openxmlformats.org/officeDocument/2006/relationships/hyperlink" Target="https://leetcode.com/problems/koko-eating-bananas/" TargetMode="External"/><Relationship Id="rId62" Type="http://schemas.openxmlformats.org/officeDocument/2006/relationships/hyperlink" Target="https://leetcode.com/problems/generate-parentheses/" TargetMode="External"/><Relationship Id="rId83" Type="http://schemas.openxmlformats.org/officeDocument/2006/relationships/hyperlink" Target="https://leetcode.com/problems/k-closest-points-to-origin/" TargetMode="External"/><Relationship Id="rId88" Type="http://schemas.openxmlformats.org/officeDocument/2006/relationships/hyperlink" Target="https://leetcode.com/problems/gas-station/" TargetMode="External"/><Relationship Id="rId111" Type="http://schemas.openxmlformats.org/officeDocument/2006/relationships/hyperlink" Target="https://leetcode.com/problems/palindrome-linked-list/" TargetMode="External"/><Relationship Id="rId132" Type="http://schemas.openxmlformats.org/officeDocument/2006/relationships/comments" Target="../comments1.xml"/><Relationship Id="rId15" Type="http://schemas.openxmlformats.org/officeDocument/2006/relationships/hyperlink" Target="https://leetcode.com/problems/minimum-size-subarray-sum/" TargetMode="External"/><Relationship Id="rId36" Type="http://schemas.openxmlformats.org/officeDocument/2006/relationships/hyperlink" Target="https://leetcode.com/problems/design-circular-queue/" TargetMode="External"/><Relationship Id="rId57" Type="http://schemas.openxmlformats.org/officeDocument/2006/relationships/hyperlink" Target="https://leetcode.com/problems/subsets/" TargetMode="External"/><Relationship Id="rId106" Type="http://schemas.openxmlformats.org/officeDocument/2006/relationships/hyperlink" Target="https://leetcode.com/problems/search-insert-position/" TargetMode="External"/><Relationship Id="rId127" Type="http://schemas.openxmlformats.org/officeDocument/2006/relationships/hyperlink" Target="https://leetcode.com/problems/remove-element/" TargetMode="External"/><Relationship Id="rId10" Type="http://schemas.openxmlformats.org/officeDocument/2006/relationships/hyperlink" Target="https://leetcode.com/problems/two-sum-ii-input-array-is-sorted/" TargetMode="External"/><Relationship Id="rId31" Type="http://schemas.openxmlformats.org/officeDocument/2006/relationships/hyperlink" Target="https://leetcode.com/problems/reorder-list/" TargetMode="External"/><Relationship Id="rId52" Type="http://schemas.openxmlformats.org/officeDocument/2006/relationships/hyperlink" Target="https://leetcode.com/problems/rotting-oranges/" TargetMode="External"/><Relationship Id="rId73" Type="http://schemas.openxmlformats.org/officeDocument/2006/relationships/hyperlink" Target="https://leetcode.com/problems/combination-sum-iv/" TargetMode="External"/><Relationship Id="rId78" Type="http://schemas.openxmlformats.org/officeDocument/2006/relationships/hyperlink" Target="https://leetcode.com/problems/maximal-square/" TargetMode="External"/><Relationship Id="rId94" Type="http://schemas.openxmlformats.org/officeDocument/2006/relationships/hyperlink" Target="https://leetcode.com/problems/merge-k-sorted-lists/" TargetMode="External"/><Relationship Id="rId99" Type="http://schemas.openxmlformats.org/officeDocument/2006/relationships/hyperlink" Target="https://leetcode.com/problems/diameter-of-binary-tree/" TargetMode="External"/><Relationship Id="rId101" Type="http://schemas.openxmlformats.org/officeDocument/2006/relationships/hyperlink" Target="https://leetcode.com/problems/symmetric-tree/" TargetMode="External"/><Relationship Id="rId122" Type="http://schemas.openxmlformats.org/officeDocument/2006/relationships/hyperlink" Target="https://leetcode.com/problems/word-pattern/" TargetMode="External"/><Relationship Id="rId4" Type="http://schemas.openxmlformats.org/officeDocument/2006/relationships/hyperlink" Target="https://leetcode.com/problems/majority-element/" TargetMode="External"/><Relationship Id="rId9" Type="http://schemas.openxmlformats.org/officeDocument/2006/relationships/hyperlink" Target="https://leetcode.com/problems/reverse-string/" TargetMode="External"/><Relationship Id="rId26" Type="http://schemas.openxmlformats.org/officeDocument/2006/relationships/hyperlink" Target="https://leetcode.com/problems/string-compress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31"/>
  <sheetViews>
    <sheetView tabSelected="1" topLeftCell="B1" zoomScale="104" zoomScaleNormal="100" workbookViewId="0">
      <pane ySplit="1" topLeftCell="A2" activePane="bottomLeft" state="frozen"/>
      <selection pane="bottomLeft" activeCell="E34" sqref="E34"/>
    </sheetView>
  </sheetViews>
  <sheetFormatPr defaultColWidth="8.6640625" defaultRowHeight="14.25" x14ac:dyDescent="0.4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34" customWidth="1"/>
  </cols>
  <sheetData>
    <row r="1" spans="1:10" ht="30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7" hidden="1" x14ac:dyDescent="0.45">
      <c r="A2" s="2">
        <v>1</v>
      </c>
      <c r="B2" s="3" t="s">
        <v>10</v>
      </c>
      <c r="C2" s="3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302</v>
      </c>
      <c r="I2" s="3"/>
      <c r="J2" s="7"/>
    </row>
    <row r="3" spans="1:10" hidden="1" x14ac:dyDescent="0.45">
      <c r="A3" s="2">
        <v>2</v>
      </c>
      <c r="B3" s="3" t="s">
        <v>10</v>
      </c>
      <c r="C3" s="3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302</v>
      </c>
      <c r="I3" s="3"/>
      <c r="J3" s="7"/>
    </row>
    <row r="4" spans="1:10" hidden="1" x14ac:dyDescent="0.45">
      <c r="A4" s="2">
        <v>3</v>
      </c>
      <c r="B4" s="3" t="s">
        <v>10</v>
      </c>
      <c r="C4" s="3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302</v>
      </c>
      <c r="I4" s="3"/>
      <c r="J4" s="7"/>
    </row>
    <row r="5" spans="1:10" hidden="1" x14ac:dyDescent="0.45">
      <c r="A5" s="2">
        <v>4</v>
      </c>
      <c r="B5" s="3" t="s">
        <v>10</v>
      </c>
      <c r="C5" s="3" t="s">
        <v>20</v>
      </c>
      <c r="D5" s="8" t="s">
        <v>21</v>
      </c>
      <c r="E5" s="5" t="s">
        <v>13</v>
      </c>
      <c r="F5" s="2">
        <v>20</v>
      </c>
      <c r="G5" s="6" t="s">
        <v>22</v>
      </c>
      <c r="H5" s="7" t="s">
        <v>15</v>
      </c>
      <c r="I5" s="3"/>
      <c r="J5" s="7"/>
    </row>
    <row r="6" spans="1:10" hidden="1" x14ac:dyDescent="0.45">
      <c r="A6" s="2">
        <v>5</v>
      </c>
      <c r="B6" s="3" t="s">
        <v>10</v>
      </c>
      <c r="C6" s="3" t="s">
        <v>23</v>
      </c>
      <c r="D6" s="4" t="s">
        <v>12</v>
      </c>
      <c r="E6" s="5" t="s">
        <v>13</v>
      </c>
      <c r="F6" s="2">
        <v>15</v>
      </c>
      <c r="G6" s="6" t="s">
        <v>24</v>
      </c>
      <c r="H6" s="7" t="s">
        <v>302</v>
      </c>
      <c r="I6" s="3"/>
      <c r="J6" s="7"/>
    </row>
    <row r="7" spans="1:10" hidden="1" x14ac:dyDescent="0.45">
      <c r="A7" s="2">
        <v>6</v>
      </c>
      <c r="B7" s="3" t="s">
        <v>10</v>
      </c>
      <c r="C7" s="3" t="s">
        <v>25</v>
      </c>
      <c r="D7" s="4" t="s">
        <v>12</v>
      </c>
      <c r="E7" s="5" t="s">
        <v>13</v>
      </c>
      <c r="F7" s="2">
        <v>10</v>
      </c>
      <c r="G7" s="6" t="s">
        <v>26</v>
      </c>
      <c r="H7" s="7" t="s">
        <v>302</v>
      </c>
      <c r="I7" s="3"/>
      <c r="J7" s="7"/>
    </row>
    <row r="8" spans="1:10" hidden="1" x14ac:dyDescent="0.45">
      <c r="A8" s="2">
        <v>7</v>
      </c>
      <c r="B8" s="3" t="s">
        <v>10</v>
      </c>
      <c r="C8" s="3" t="s">
        <v>27</v>
      </c>
      <c r="D8" s="4" t="s">
        <v>12</v>
      </c>
      <c r="E8" s="5" t="s">
        <v>13</v>
      </c>
      <c r="F8" s="2">
        <v>15</v>
      </c>
      <c r="G8" s="6" t="s">
        <v>28</v>
      </c>
      <c r="H8" s="7" t="s">
        <v>302</v>
      </c>
      <c r="I8" s="3"/>
      <c r="J8" s="7"/>
    </row>
    <row r="9" spans="1:10" hidden="1" x14ac:dyDescent="0.45">
      <c r="A9" s="2">
        <v>8</v>
      </c>
      <c r="B9" s="3" t="s">
        <v>10</v>
      </c>
      <c r="C9" s="3" t="s">
        <v>29</v>
      </c>
      <c r="D9" s="4" t="s">
        <v>12</v>
      </c>
      <c r="E9" s="5" t="s">
        <v>13</v>
      </c>
      <c r="F9" s="2">
        <v>10</v>
      </c>
      <c r="G9" s="6" t="s">
        <v>30</v>
      </c>
      <c r="H9" s="7" t="s">
        <v>302</v>
      </c>
      <c r="I9" s="3"/>
      <c r="J9" s="7"/>
    </row>
    <row r="10" spans="1:10" hidden="1" x14ac:dyDescent="0.45">
      <c r="A10" s="2">
        <v>9</v>
      </c>
      <c r="B10" s="3" t="s">
        <v>10</v>
      </c>
      <c r="C10" s="3" t="s">
        <v>31</v>
      </c>
      <c r="D10" s="4" t="s">
        <v>12</v>
      </c>
      <c r="E10" s="5" t="s">
        <v>13</v>
      </c>
      <c r="F10" s="2">
        <v>15</v>
      </c>
      <c r="G10" s="6" t="s">
        <v>32</v>
      </c>
      <c r="H10" s="7" t="s">
        <v>303</v>
      </c>
      <c r="I10" s="3"/>
      <c r="J10" s="7"/>
    </row>
    <row r="11" spans="1:10" ht="27" hidden="1" x14ac:dyDescent="0.45">
      <c r="A11" s="2">
        <v>10</v>
      </c>
      <c r="B11" s="3" t="s">
        <v>10</v>
      </c>
      <c r="C11" s="3" t="s">
        <v>33</v>
      </c>
      <c r="D11" s="4" t="s">
        <v>12</v>
      </c>
      <c r="E11" s="5" t="s">
        <v>13</v>
      </c>
      <c r="F11" s="2">
        <v>15</v>
      </c>
      <c r="G11" s="6" t="s">
        <v>34</v>
      </c>
      <c r="H11" s="7" t="s">
        <v>303</v>
      </c>
      <c r="I11" s="3"/>
      <c r="J11" s="7"/>
    </row>
    <row r="12" spans="1:10" hidden="1" x14ac:dyDescent="0.45">
      <c r="A12" s="2">
        <v>11</v>
      </c>
      <c r="B12" s="3" t="s">
        <v>35</v>
      </c>
      <c r="C12" s="3" t="s">
        <v>36</v>
      </c>
      <c r="D12" s="4" t="s">
        <v>12</v>
      </c>
      <c r="E12" s="5" t="s">
        <v>13</v>
      </c>
      <c r="F12" s="2">
        <v>15</v>
      </c>
      <c r="G12" s="6" t="s">
        <v>37</v>
      </c>
      <c r="H12" s="7" t="s">
        <v>302</v>
      </c>
      <c r="I12" s="3"/>
      <c r="J12" s="7"/>
    </row>
    <row r="13" spans="1:10" hidden="1" x14ac:dyDescent="0.45">
      <c r="A13" s="2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>
        <v>10</v>
      </c>
      <c r="G13" s="6" t="s">
        <v>39</v>
      </c>
      <c r="H13" s="7" t="s">
        <v>302</v>
      </c>
      <c r="I13" s="3"/>
      <c r="J13" s="7"/>
    </row>
    <row r="14" spans="1:10" ht="27" hidden="1" x14ac:dyDescent="0.45">
      <c r="A14" s="2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>
        <v>15</v>
      </c>
      <c r="G14" s="6" t="s">
        <v>41</v>
      </c>
      <c r="H14" s="7" t="s">
        <v>302</v>
      </c>
      <c r="I14" s="3"/>
      <c r="J14" s="7"/>
    </row>
    <row r="15" spans="1:10" hidden="1" x14ac:dyDescent="0.45">
      <c r="A15" s="2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>
        <v>10</v>
      </c>
      <c r="G15" s="6" t="s">
        <v>43</v>
      </c>
      <c r="H15" s="7" t="s">
        <v>302</v>
      </c>
      <c r="I15" s="3"/>
      <c r="J15" s="7"/>
    </row>
    <row r="16" spans="1:10" ht="27" hidden="1" x14ac:dyDescent="0.45">
      <c r="A16" s="2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>
        <v>15</v>
      </c>
      <c r="G16" s="6" t="s">
        <v>45</v>
      </c>
      <c r="H16" s="7" t="s">
        <v>302</v>
      </c>
      <c r="I16" s="3"/>
      <c r="J16" s="7"/>
    </row>
    <row r="17" spans="1:10" hidden="1" x14ac:dyDescent="0.4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303</v>
      </c>
      <c r="I17" s="3"/>
      <c r="J17" s="7"/>
    </row>
    <row r="18" spans="1:10" ht="27" hidden="1" x14ac:dyDescent="0.4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7" hidden="1" x14ac:dyDescent="0.4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4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hidden="1" x14ac:dyDescent="0.4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hidden="1" x14ac:dyDescent="0.4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hidden="1" x14ac:dyDescent="0.4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hidden="1" x14ac:dyDescent="0.4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hidden="1" x14ac:dyDescent="0.4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7" hidden="1" x14ac:dyDescent="0.4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7" hidden="1" x14ac:dyDescent="0.4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4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7" hidden="1" x14ac:dyDescent="0.4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hidden="1" x14ac:dyDescent="0.4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hidden="1" x14ac:dyDescent="0.4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hidden="1" x14ac:dyDescent="0.4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4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7" x14ac:dyDescent="0.4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4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4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4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7" x14ac:dyDescent="0.4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hidden="1" x14ac:dyDescent="0.4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hidden="1" x14ac:dyDescent="0.4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4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hidden="1" x14ac:dyDescent="0.4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7" hidden="1" x14ac:dyDescent="0.4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4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7" x14ac:dyDescent="0.4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4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4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4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4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hidden="1" x14ac:dyDescent="0.4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hidden="1" x14ac:dyDescent="0.4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7" hidden="1" x14ac:dyDescent="0.4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hidden="1" x14ac:dyDescent="0.4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hidden="1" x14ac:dyDescent="0.4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4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4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hidden="1" x14ac:dyDescent="0.4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hidden="1" x14ac:dyDescent="0.4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4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hidden="1" x14ac:dyDescent="0.4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hidden="1" x14ac:dyDescent="0.4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7" x14ac:dyDescent="0.4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4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4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hidden="1" x14ac:dyDescent="0.4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hidden="1" x14ac:dyDescent="0.4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hidden="1" x14ac:dyDescent="0.4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7" hidden="1" x14ac:dyDescent="0.4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7" hidden="1" x14ac:dyDescent="0.4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4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4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4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4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hidden="1" x14ac:dyDescent="0.4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4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4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4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hidden="1" x14ac:dyDescent="0.4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7" hidden="1" x14ac:dyDescent="0.4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hidden="1" x14ac:dyDescent="0.4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hidden="1" x14ac:dyDescent="0.4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hidden="1" x14ac:dyDescent="0.4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7" x14ac:dyDescent="0.4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7" hidden="1" x14ac:dyDescent="0.4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hidden="1" x14ac:dyDescent="0.4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7" hidden="1" x14ac:dyDescent="0.4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hidden="1" x14ac:dyDescent="0.4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hidden="1" x14ac:dyDescent="0.4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hidden="1" x14ac:dyDescent="0.4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hidden="1" x14ac:dyDescent="0.4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hidden="1" x14ac:dyDescent="0.4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7" hidden="1" x14ac:dyDescent="0.4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hidden="1" x14ac:dyDescent="0.4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hidden="1" x14ac:dyDescent="0.4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hidden="1" x14ac:dyDescent="0.4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7" hidden="1" x14ac:dyDescent="0.4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7" hidden="1" x14ac:dyDescent="0.4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hidden="1" x14ac:dyDescent="0.4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hidden="1" x14ac:dyDescent="0.4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7" x14ac:dyDescent="0.4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hidden="1" x14ac:dyDescent="0.4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hidden="1" x14ac:dyDescent="0.4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7" hidden="1" x14ac:dyDescent="0.4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hidden="1" x14ac:dyDescent="0.4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hidden="1" x14ac:dyDescent="0.4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hidden="1" x14ac:dyDescent="0.4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hidden="1" x14ac:dyDescent="0.4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hidden="1" x14ac:dyDescent="0.4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7" hidden="1" x14ac:dyDescent="0.4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hidden="1" x14ac:dyDescent="0.4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7" hidden="1" x14ac:dyDescent="0.4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hidden="1" x14ac:dyDescent="0.4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hidden="1" x14ac:dyDescent="0.4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hidden="1" x14ac:dyDescent="0.4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hidden="1" x14ac:dyDescent="0.4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hidden="1" x14ac:dyDescent="0.4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hidden="1" x14ac:dyDescent="0.4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hidden="1" x14ac:dyDescent="0.4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4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hidden="1" x14ac:dyDescent="0.4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hidden="1" x14ac:dyDescent="0.4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7" hidden="1" x14ac:dyDescent="0.4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hidden="1" x14ac:dyDescent="0.4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hidden="1" x14ac:dyDescent="0.4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7" hidden="1" x14ac:dyDescent="0.4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hidden="1" x14ac:dyDescent="0.4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hidden="1" x14ac:dyDescent="0.4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hidden="1" x14ac:dyDescent="0.4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7" hidden="1" x14ac:dyDescent="0.4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7" hidden="1" x14ac:dyDescent="0.4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7" hidden="1" x14ac:dyDescent="0.4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>
    <filterColumn colId="3">
      <filters>
        <filter val="Easy"/>
      </filters>
    </filterColumn>
    <filterColumn colId="7">
      <filters>
        <filter val="Not Started"/>
      </filters>
    </filterColumn>
  </autoFilter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5" r:id="rId1" xr:uid="{00000000-0004-0000-0000-000003000000}"/>
    <hyperlink ref="E6" r:id="rId2" xr:uid="{00000000-0004-0000-0000-000004000000}"/>
    <hyperlink ref="E7" r:id="rId3" xr:uid="{00000000-0004-0000-0000-000005000000}"/>
    <hyperlink ref="E8" r:id="rId4" xr:uid="{00000000-0004-0000-0000-000006000000}"/>
    <hyperlink ref="E9" r:id="rId5" xr:uid="{00000000-0004-0000-0000-000007000000}"/>
    <hyperlink ref="E10" r:id="rId6" xr:uid="{00000000-0004-0000-0000-000008000000}"/>
    <hyperlink ref="E11" r:id="rId7" xr:uid="{00000000-0004-0000-0000-000009000000}"/>
    <hyperlink ref="E12" r:id="rId8" xr:uid="{00000000-0004-0000-0000-00000A000000}"/>
    <hyperlink ref="E13" r:id="rId9" xr:uid="{00000000-0004-0000-0000-00000B000000}"/>
    <hyperlink ref="E14" r:id="rId10" xr:uid="{00000000-0004-0000-0000-00000C000000}"/>
    <hyperlink ref="E17" r:id="rId11" xr:uid="{00000000-0004-0000-0000-00000F000000}"/>
    <hyperlink ref="E18" r:id="rId12" xr:uid="{00000000-0004-0000-0000-000010000000}"/>
    <hyperlink ref="E19" r:id="rId13" xr:uid="{00000000-0004-0000-0000-000011000000}"/>
    <hyperlink ref="E21" r:id="rId14" xr:uid="{00000000-0004-0000-0000-000013000000}"/>
    <hyperlink ref="E22" r:id="rId15" xr:uid="{00000000-0004-0000-0000-000014000000}"/>
    <hyperlink ref="E23" r:id="rId16" xr:uid="{00000000-0004-0000-0000-000015000000}"/>
    <hyperlink ref="E24" r:id="rId17" xr:uid="{00000000-0004-0000-0000-000016000000}"/>
    <hyperlink ref="E25" r:id="rId18" xr:uid="{00000000-0004-0000-0000-000017000000}"/>
    <hyperlink ref="E26" r:id="rId19" xr:uid="{00000000-0004-0000-0000-000018000000}"/>
    <hyperlink ref="E27" r:id="rId20" xr:uid="{00000000-0004-0000-0000-000019000000}"/>
    <hyperlink ref="E29" r:id="rId21" xr:uid="{00000000-0004-0000-0000-00001B000000}"/>
    <hyperlink ref="E30" r:id="rId22" xr:uid="{00000000-0004-0000-0000-00001C000000}"/>
    <hyperlink ref="E31" r:id="rId23" xr:uid="{00000000-0004-0000-0000-00001D000000}"/>
    <hyperlink ref="E32" r:id="rId24" xr:uid="{00000000-0004-0000-0000-00001E000000}"/>
    <hyperlink ref="E39" r:id="rId25" xr:uid="{00000000-0004-0000-0000-000025000000}"/>
    <hyperlink ref="E40" r:id="rId26" xr:uid="{00000000-0004-0000-0000-000026000000}"/>
    <hyperlink ref="E42" r:id="rId27" xr:uid="{00000000-0004-0000-0000-000028000000}"/>
    <hyperlink ref="E43" r:id="rId28" xr:uid="{00000000-0004-0000-0000-000029000000}"/>
    <hyperlink ref="E50" r:id="rId29" xr:uid="{00000000-0004-0000-0000-000030000000}"/>
    <hyperlink ref="E51" r:id="rId30" xr:uid="{00000000-0004-0000-0000-000031000000}"/>
    <hyperlink ref="E52" r:id="rId31" xr:uid="{00000000-0004-0000-0000-000032000000}"/>
    <hyperlink ref="E53" r:id="rId32" xr:uid="{00000000-0004-0000-0000-000033000000}"/>
    <hyperlink ref="E54" r:id="rId33" xr:uid="{00000000-0004-0000-0000-000034000000}"/>
    <hyperlink ref="E57" r:id="rId34" xr:uid="{00000000-0004-0000-0000-000037000000}"/>
    <hyperlink ref="E58" r:id="rId35" xr:uid="{00000000-0004-0000-0000-000038000000}"/>
    <hyperlink ref="E60" r:id="rId36" xr:uid="{00000000-0004-0000-0000-00003A000000}"/>
    <hyperlink ref="E61" r:id="rId37" xr:uid="{00000000-0004-0000-0000-00003B000000}"/>
    <hyperlink ref="E65" r:id="rId38" xr:uid="{00000000-0004-0000-0000-00003F000000}"/>
    <hyperlink ref="E66" r:id="rId39" xr:uid="{00000000-0004-0000-0000-000040000000}"/>
    <hyperlink ref="E67" r:id="rId40" xr:uid="{00000000-0004-0000-0000-000041000000}"/>
    <hyperlink ref="E68" r:id="rId41" xr:uid="{00000000-0004-0000-0000-000042000000}"/>
    <hyperlink ref="E69" r:id="rId42" xr:uid="{00000000-0004-0000-0000-000043000000}"/>
    <hyperlink ref="E74" r:id="rId43" xr:uid="{00000000-0004-0000-0000-000048000000}"/>
    <hyperlink ref="E78" r:id="rId44" xr:uid="{00000000-0004-0000-0000-00004C000000}"/>
    <hyperlink ref="E79" r:id="rId45" xr:uid="{00000000-0004-0000-0000-00004D000000}"/>
    <hyperlink ref="E80" r:id="rId46" xr:uid="{00000000-0004-0000-0000-00004E000000}"/>
    <hyperlink ref="E81" r:id="rId47" xr:uid="{00000000-0004-0000-0000-00004F000000}"/>
    <hyperlink ref="E82" r:id="rId48" xr:uid="{00000000-0004-0000-0000-000050000000}"/>
    <hyperlink ref="E84" r:id="rId49" xr:uid="{00000000-0004-0000-0000-000052000000}"/>
    <hyperlink ref="E85" r:id="rId50" xr:uid="{00000000-0004-0000-0000-000053000000}"/>
    <hyperlink ref="E86" r:id="rId51" xr:uid="{00000000-0004-0000-0000-000054000000}"/>
    <hyperlink ref="E87" r:id="rId52" xr:uid="{00000000-0004-0000-0000-000055000000}"/>
    <hyperlink ref="E88" r:id="rId53" xr:uid="{00000000-0004-0000-0000-000056000000}"/>
    <hyperlink ref="E89" r:id="rId54" xr:uid="{00000000-0004-0000-0000-000057000000}"/>
    <hyperlink ref="E90" r:id="rId55" xr:uid="{00000000-0004-0000-0000-000058000000}"/>
    <hyperlink ref="E91" r:id="rId56" xr:uid="{00000000-0004-0000-0000-000059000000}"/>
    <hyperlink ref="E92" r:id="rId57" xr:uid="{00000000-0004-0000-0000-00005A000000}"/>
    <hyperlink ref="E93" r:id="rId58" xr:uid="{00000000-0004-0000-0000-00005B000000}"/>
    <hyperlink ref="E94" r:id="rId59" xr:uid="{00000000-0004-0000-0000-00005C000000}"/>
    <hyperlink ref="E95" r:id="rId60" xr:uid="{00000000-0004-0000-0000-00005D000000}"/>
    <hyperlink ref="E96" r:id="rId61" xr:uid="{00000000-0004-0000-0000-00005E000000}"/>
    <hyperlink ref="E97" r:id="rId62" xr:uid="{00000000-0004-0000-0000-00005F000000}"/>
    <hyperlink ref="E98" r:id="rId63" xr:uid="{00000000-0004-0000-0000-000060000000}"/>
    <hyperlink ref="E99" r:id="rId64" xr:uid="{00000000-0004-0000-0000-000061000000}"/>
    <hyperlink ref="E101" r:id="rId65" xr:uid="{00000000-0004-0000-0000-000063000000}"/>
    <hyperlink ref="E102" r:id="rId66" xr:uid="{00000000-0004-0000-0000-000064000000}"/>
    <hyperlink ref="E103" r:id="rId67" xr:uid="{00000000-0004-0000-0000-000065000000}"/>
    <hyperlink ref="E104" r:id="rId68" xr:uid="{00000000-0004-0000-0000-000066000000}"/>
    <hyperlink ref="E105" r:id="rId69" xr:uid="{00000000-0004-0000-0000-000067000000}"/>
    <hyperlink ref="E106" r:id="rId70" xr:uid="{00000000-0004-0000-0000-000068000000}"/>
    <hyperlink ref="E107" r:id="rId71" xr:uid="{00000000-0004-0000-0000-000069000000}"/>
    <hyperlink ref="E108" r:id="rId72" xr:uid="{00000000-0004-0000-0000-00006A000000}"/>
    <hyperlink ref="E109" r:id="rId73" xr:uid="{00000000-0004-0000-0000-00006B000000}"/>
    <hyperlink ref="E110" r:id="rId74" xr:uid="{00000000-0004-0000-0000-00006C000000}"/>
    <hyperlink ref="E111" r:id="rId75" xr:uid="{00000000-0004-0000-0000-00006D000000}"/>
    <hyperlink ref="E112" r:id="rId76" xr:uid="{00000000-0004-0000-0000-00006E000000}"/>
    <hyperlink ref="E113" r:id="rId77" xr:uid="{00000000-0004-0000-0000-00006F000000}"/>
    <hyperlink ref="E114" r:id="rId78" xr:uid="{00000000-0004-0000-0000-000070000000}"/>
    <hyperlink ref="E115" r:id="rId79" xr:uid="{00000000-0004-0000-0000-000071000000}"/>
    <hyperlink ref="E116" r:id="rId80" xr:uid="{00000000-0004-0000-0000-000072000000}"/>
    <hyperlink ref="E117" r:id="rId81" xr:uid="{00000000-0004-0000-0000-000073000000}"/>
    <hyperlink ref="E118" r:id="rId82" xr:uid="{00000000-0004-0000-0000-000074000000}"/>
    <hyperlink ref="E120" r:id="rId83" xr:uid="{00000000-0004-0000-0000-000076000000}"/>
    <hyperlink ref="E121" r:id="rId84" xr:uid="{00000000-0004-0000-0000-000077000000}"/>
    <hyperlink ref="E122" r:id="rId85" xr:uid="{00000000-0004-0000-0000-000078000000}"/>
    <hyperlink ref="E123" r:id="rId86" xr:uid="{00000000-0004-0000-0000-000079000000}"/>
    <hyperlink ref="E124" r:id="rId87" xr:uid="{00000000-0004-0000-0000-00007A000000}"/>
    <hyperlink ref="E125" r:id="rId88" xr:uid="{00000000-0004-0000-0000-00007B000000}"/>
    <hyperlink ref="E126" r:id="rId89" xr:uid="{00000000-0004-0000-0000-00007C000000}"/>
    <hyperlink ref="E127" r:id="rId90" xr:uid="{00000000-0004-0000-0000-00007D000000}"/>
    <hyperlink ref="E128" r:id="rId91" xr:uid="{00000000-0004-0000-0000-00007E000000}"/>
    <hyperlink ref="E129" r:id="rId92" xr:uid="{00000000-0004-0000-0000-00007F000000}"/>
    <hyperlink ref="E130" r:id="rId93" xr:uid="{00000000-0004-0000-0000-000080000000}"/>
    <hyperlink ref="E131" r:id="rId94" xr:uid="{00000000-0004-0000-0000-000081000000}"/>
    <hyperlink ref="E119" r:id="rId95" xr:uid="{00000000-0004-0000-0000-000075000000}"/>
    <hyperlink ref="E100" r:id="rId96" xr:uid="{00000000-0004-0000-0000-000062000000}"/>
    <hyperlink ref="E83" r:id="rId97" xr:uid="{00000000-0004-0000-0000-000051000000}"/>
    <hyperlink ref="E77" r:id="rId98" xr:uid="{00000000-0004-0000-0000-00004B000000}"/>
    <hyperlink ref="E76" r:id="rId99" xr:uid="{00000000-0004-0000-0000-00004A000000}"/>
    <hyperlink ref="E75" r:id="rId100" xr:uid="{00000000-0004-0000-0000-000049000000}"/>
    <hyperlink ref="E73" r:id="rId101" xr:uid="{00000000-0004-0000-0000-000047000000}"/>
    <hyperlink ref="E72" r:id="rId102" xr:uid="{00000000-0004-0000-0000-000046000000}"/>
    <hyperlink ref="E71" r:id="rId103" xr:uid="{00000000-0004-0000-0000-000045000000}"/>
    <hyperlink ref="E70" r:id="rId104" xr:uid="{00000000-0004-0000-0000-000044000000}"/>
    <hyperlink ref="E64" r:id="rId105" xr:uid="{00000000-0004-0000-0000-00003E000000}"/>
    <hyperlink ref="E63" r:id="rId106" xr:uid="{00000000-0004-0000-0000-00003D000000}"/>
    <hyperlink ref="E62" r:id="rId107" xr:uid="{00000000-0004-0000-0000-00003C000000}"/>
    <hyperlink ref="E59" r:id="rId108" xr:uid="{00000000-0004-0000-0000-000039000000}"/>
    <hyperlink ref="E56" r:id="rId109" xr:uid="{00000000-0004-0000-0000-000036000000}"/>
    <hyperlink ref="E55" r:id="rId110" xr:uid="{00000000-0004-0000-0000-000035000000}"/>
    <hyperlink ref="E49" r:id="rId111" xr:uid="{00000000-0004-0000-0000-00002F000000}"/>
    <hyperlink ref="E48" r:id="rId112" xr:uid="{00000000-0004-0000-0000-00002E000000}"/>
    <hyperlink ref="E47" r:id="rId113" xr:uid="{00000000-0004-0000-0000-00002D000000}"/>
    <hyperlink ref="E46" r:id="rId114" xr:uid="{00000000-0004-0000-0000-00002C000000}"/>
    <hyperlink ref="E45" r:id="rId115" xr:uid="{00000000-0004-0000-0000-00002B000000}"/>
    <hyperlink ref="E44" r:id="rId116" xr:uid="{00000000-0004-0000-0000-00002A000000}"/>
    <hyperlink ref="E41" r:id="rId117" xr:uid="{00000000-0004-0000-0000-000027000000}"/>
    <hyperlink ref="E38" r:id="rId118" xr:uid="{00000000-0004-0000-0000-000024000000}"/>
    <hyperlink ref="E37" r:id="rId119" xr:uid="{00000000-0004-0000-0000-000023000000}"/>
    <hyperlink ref="E36" r:id="rId120" xr:uid="{00000000-0004-0000-0000-000022000000}"/>
    <hyperlink ref="E35" r:id="rId121" xr:uid="{00000000-0004-0000-0000-000021000000}"/>
    <hyperlink ref="E34" r:id="rId122" xr:uid="{00000000-0004-0000-0000-000020000000}"/>
    <hyperlink ref="E33" r:id="rId123" xr:uid="{00000000-0004-0000-0000-00001F000000}"/>
    <hyperlink ref="E28" r:id="rId124" xr:uid="{00000000-0004-0000-0000-00001A000000}"/>
    <hyperlink ref="E20" r:id="rId125" xr:uid="{00000000-0004-0000-0000-000012000000}"/>
    <hyperlink ref="E16" r:id="rId126" xr:uid="{00000000-0004-0000-0000-00000E000000}"/>
    <hyperlink ref="E15" r:id="rId127" xr:uid="{00000000-0004-0000-0000-00000D000000}"/>
    <hyperlink ref="E4" r:id="rId128" xr:uid="{00000000-0004-0000-0000-000002000000}"/>
    <hyperlink ref="E3" r:id="rId129" xr:uid="{00000000-0004-0000-0000-000001000000}"/>
    <hyperlink ref="E2" r:id="rId130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1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640625" defaultRowHeight="14.25" x14ac:dyDescent="0.45"/>
  <cols>
    <col min="1" max="1" width="22" customWidth="1"/>
    <col min="2" max="2" width="14" customWidth="1"/>
    <col min="4" max="4" width="60" customWidth="1"/>
  </cols>
  <sheetData>
    <row r="1" spans="1:4" ht="17.649999999999999" x14ac:dyDescent="0.5">
      <c r="A1" s="15" t="s">
        <v>290</v>
      </c>
      <c r="B1" s="15"/>
      <c r="C1" s="15"/>
      <c r="D1" s="10" t="s">
        <v>291</v>
      </c>
    </row>
    <row r="2" spans="1:4" x14ac:dyDescent="0.45">
      <c r="D2" s="11" t="s">
        <v>292</v>
      </c>
    </row>
    <row r="3" spans="1:4" x14ac:dyDescent="0.4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45">
      <c r="A4" s="10" t="s">
        <v>295</v>
      </c>
      <c r="B4" s="12">
        <f>COUNTIF('130-Day Plan'!H2:H131,"Done")</f>
        <v>0</v>
      </c>
      <c r="D4" s="11" t="s">
        <v>296</v>
      </c>
    </row>
    <row r="5" spans="1:4" x14ac:dyDescent="0.45">
      <c r="A5" s="10" t="s">
        <v>297</v>
      </c>
      <c r="B5" s="12">
        <f>COUNTIF('130-Day Plan'!H2:H131,"In Progress")</f>
        <v>0</v>
      </c>
      <c r="D5" s="13" t="s">
        <v>298</v>
      </c>
    </row>
    <row r="6" spans="1:4" x14ac:dyDescent="0.45">
      <c r="A6" s="10" t="s">
        <v>15</v>
      </c>
      <c r="B6" s="12">
        <f>COUNTIF('130-Day Plan'!H2:H131,"Not Started")</f>
        <v>115</v>
      </c>
    </row>
    <row r="7" spans="1:4" x14ac:dyDescent="0.45">
      <c r="A7" s="10" t="s">
        <v>299</v>
      </c>
      <c r="B7" s="12">
        <f>COUNTIF('130-Day Plan'!H2:H131,"Skipped")</f>
        <v>0</v>
      </c>
    </row>
    <row r="8" spans="1:4" x14ac:dyDescent="0.45">
      <c r="A8" s="10" t="s">
        <v>300</v>
      </c>
      <c r="B8" s="14">
        <f>B4/B3</f>
        <v>0</v>
      </c>
    </row>
    <row r="11" spans="1:4" x14ac:dyDescent="0.45">
      <c r="A11" s="10" t="s">
        <v>301</v>
      </c>
    </row>
    <row r="12" spans="1:4" x14ac:dyDescent="0.45">
      <c r="A12" s="12" t="s">
        <v>12</v>
      </c>
      <c r="B12" s="12">
        <f>COUNTIF('130-Day Plan'!D2:D131,"Easy")</f>
        <v>44</v>
      </c>
    </row>
    <row r="13" spans="1:4" x14ac:dyDescent="0.45">
      <c r="A13" s="12" t="s">
        <v>21</v>
      </c>
      <c r="B13" s="12">
        <f>COUNTIF('130-Day Plan'!D2:D131,"Medium")</f>
        <v>81</v>
      </c>
    </row>
    <row r="14" spans="1:4" x14ac:dyDescent="0.4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Ajna Ashraf</cp:lastModifiedBy>
  <cp:revision>0</cp:revision>
  <dcterms:created xsi:type="dcterms:W3CDTF">2026-09-13T07:12:35Z</dcterms:created>
  <dcterms:modified xsi:type="dcterms:W3CDTF">2026-10-04T16:57:54Z</dcterms:modified>
  <dc:language>en-US</dc:language>
</cp:coreProperties>
</file>