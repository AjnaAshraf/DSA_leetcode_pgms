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DSA\"/>
    </mc:Choice>
  </mc:AlternateContent>
  <xr:revisionPtr revIDLastSave="0" documentId="13_ncr:1_{4B982B9D-4C91-497D-B8DB-7E29F7FB531E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130-Day Plan" sheetId="1" r:id="rId1"/>
    <sheet name="Progress" sheetId="2" r:id="rId2"/>
  </sheets>
  <definedNames>
    <definedName name="_xlnm._FilterDatabase" localSheetId="0" hidden="1">'130-Day Plan'!$A$1:$J$131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7" i="2"/>
  <c r="B6" i="2"/>
  <c r="B5" i="2"/>
  <c r="B4" i="2"/>
  <c r="B3" i="2"/>
  <c r="B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00000000-0006-0000-0000-000001000000}">
      <text>
        <r>
          <rPr>
            <sz val="10"/>
            <rFont val="Arial"/>
            <family val="2"/>
          </rPr>
          <t>Paste the URL of the GitHub Gist containing your solution for this problem, e.g. https://gist.github.com/your-username/abc123def456
One gist per day is enough — include your code plus a short comment on your approach.</t>
        </r>
      </text>
    </comment>
  </commentList>
</comments>
</file>

<file path=xl/sharedStrings.xml><?xml version="1.0" encoding="utf-8"?>
<sst xmlns="http://schemas.openxmlformats.org/spreadsheetml/2006/main" count="806" uniqueCount="304">
  <si>
    <t>Day</t>
  </si>
  <si>
    <t>Pattern / Topic</t>
  </si>
  <si>
    <t>Problem</t>
  </si>
  <si>
    <t>Difficulty</t>
  </si>
  <si>
    <t>LeetCode Link</t>
  </si>
  <si>
    <t>Est. Time (min)</t>
  </si>
  <si>
    <t>Why this problem</t>
  </si>
  <si>
    <t>Status</t>
  </si>
  <si>
    <t>Notes</t>
  </si>
  <si>
    <t>Solution Gist Link</t>
  </si>
  <si>
    <t>Arrays &amp; Basics</t>
  </si>
  <si>
    <t>Two Sum</t>
  </si>
  <si>
    <t>Easy</t>
  </si>
  <si>
    <t>Open problem</t>
  </si>
  <si>
    <t>The classic first problem — hashmap for O(1) lookup</t>
  </si>
  <si>
    <t>Not Started</t>
  </si>
  <si>
    <t>Best Time to Buy and Sell Stock</t>
  </si>
  <si>
    <t>Track a running minimum while scanning once</t>
  </si>
  <si>
    <t>Contains Duplicate</t>
  </si>
  <si>
    <t>Set membership check, O(n) vs O(n^2)</t>
  </si>
  <si>
    <t>Maximum Subarray</t>
  </si>
  <si>
    <t>Medium</t>
  </si>
  <si>
    <t>Introduces Kadane's algorithm</t>
  </si>
  <si>
    <t>Move Zeroes</t>
  </si>
  <si>
    <t>In-place array rearrangement, two-pointer flavor</t>
  </si>
  <si>
    <t>Single Number</t>
  </si>
  <si>
    <t>XOR trick — fun 'aha' moment for beginners</t>
  </si>
  <si>
    <t>Majority Element</t>
  </si>
  <si>
    <t>Boyer-Moore voting, or simple hashmap counting</t>
  </si>
  <si>
    <t>Plus One</t>
  </si>
  <si>
    <t>Careful edge-case handling (carry-over digits)</t>
  </si>
  <si>
    <t>Remove Duplicates from Sorted Array</t>
  </si>
  <si>
    <t>In-place modification, sets up two-pointer thinking</t>
  </si>
  <si>
    <t>Merge Sorted Array</t>
  </si>
  <si>
    <t>Merge from the back — a neat trick worth teaching explicitly</t>
  </si>
  <si>
    <t>Two Pointers</t>
  </si>
  <si>
    <t>Valid Palindrome</t>
  </si>
  <si>
    <t>Pointers from both ends moving inward</t>
  </si>
  <si>
    <t>Reverse String</t>
  </si>
  <si>
    <t>Simplest possible two-pointer swap</t>
  </si>
  <si>
    <t>Two Sum II - Input Array Is Sorted</t>
  </si>
  <si>
    <t>Same problem as Day 1, new tool: sorted array + two pointers</t>
  </si>
  <si>
    <t>Remove Element</t>
  </si>
  <si>
    <t>In-place removal, overwrite-in-place pattern</t>
  </si>
  <si>
    <t>Squares of a Sorted Array</t>
  </si>
  <si>
    <t>Two pointers from outside-in due to negative numbers</t>
  </si>
  <si>
    <t>Sort Colors</t>
  </si>
  <si>
    <t>Dutch National Flag — three-pointer partitioning</t>
  </si>
  <si>
    <t>3Sum</t>
  </si>
  <si>
    <t>Fix one element, two-pointer the rest — very common interview Q</t>
  </si>
  <si>
    <t>Container With Most Water</t>
  </si>
  <si>
    <t>Greedy pointer movement based on height comparison</t>
  </si>
  <si>
    <t>Sliding Window</t>
  </si>
  <si>
    <t>Maximum Average Subarray I</t>
  </si>
  <si>
    <t>Fixed-size window — the simplest sliding window</t>
  </si>
  <si>
    <t>Longest Substring Without Repeating Characters</t>
  </si>
  <si>
    <t>Variable-size window with a hashset</t>
  </si>
  <si>
    <t>Minimum Size Subarray Sum</t>
  </si>
  <si>
    <t>Shrink-the-window-when-valid pattern</t>
  </si>
  <si>
    <t>Fruit Into Baskets</t>
  </si>
  <si>
    <t>Window with at-most-2-distinct-types constraint</t>
  </si>
  <si>
    <t>Longest Repeating Character Replacement</t>
  </si>
  <si>
    <t>Window + frequency count + a replacement budget</t>
  </si>
  <si>
    <t>Find All Anagrams in a String</t>
  </si>
  <si>
    <t>Fixed window + character frequency matching</t>
  </si>
  <si>
    <t>Permutation in String</t>
  </si>
  <si>
    <t>Same idea as previous day, different question shape</t>
  </si>
  <si>
    <t>Sliding Window Maximum</t>
  </si>
  <si>
    <t>Hard</t>
  </si>
  <si>
    <t>Stretch problem: monotonic deque — optional, but a great 'aha'</t>
  </si>
  <si>
    <t>Hashing</t>
  </si>
  <si>
    <t>Valid Anagram</t>
  </si>
  <si>
    <t>Character frequency counting with a hashmap</t>
  </si>
  <si>
    <t>Group Anagrams</t>
  </si>
  <si>
    <t>Use a sorted string (or count tuple) as a hashmap key</t>
  </si>
  <si>
    <t>Top K Frequent Elements</t>
  </si>
  <si>
    <t>Hashmap counting + bucket sort or heap</t>
  </si>
  <si>
    <t>Product of Array Except Self</t>
  </si>
  <si>
    <t>Prefix and suffix products without division</t>
  </si>
  <si>
    <t>Longest Consecutive Sequence</t>
  </si>
  <si>
    <t>Hashset trick to get O(n) instead of sorting</t>
  </si>
  <si>
    <t>Isomorphic Strings</t>
  </si>
  <si>
    <t>Two-way character mapping with two hashmaps</t>
  </si>
  <si>
    <t>Word Pattern</t>
  </si>
  <si>
    <t>Same idea as previous day, words instead of characters</t>
  </si>
  <si>
    <t>Ransom Note</t>
  </si>
  <si>
    <t>Simple frequency-count comparison</t>
  </si>
  <si>
    <t>Strings</t>
  </si>
  <si>
    <t>Valid Parentheses</t>
  </si>
  <si>
    <t>Stack basics disguised as a string problem</t>
  </si>
  <si>
    <t>Find the Index of the First Occurrence in a String</t>
  </si>
  <si>
    <t>Classic strStr() — brute-force substring search</t>
  </si>
  <si>
    <t>Longest Common Prefix</t>
  </si>
  <si>
    <t>Compare characters column by column across strings</t>
  </si>
  <si>
    <t>Reverse Words in a String</t>
  </si>
  <si>
    <t>String splitting, trimming, and reassembly</t>
  </si>
  <si>
    <t>String Compression</t>
  </si>
  <si>
    <t>In-place string building with a write pointer</t>
  </si>
  <si>
    <t>Roman to Integer</t>
  </si>
  <si>
    <t>Hashmap + a subtraction special case</t>
  </si>
  <si>
    <t>Integer to Roman</t>
  </si>
  <si>
    <t>Reverse direction of the previous day's problem</t>
  </si>
  <si>
    <t>Zigzag Conversion</t>
  </si>
  <si>
    <t>Simulate the zigzag with row buffers — visual, fun to trace on paper</t>
  </si>
  <si>
    <t>Linked Lists</t>
  </si>
  <si>
    <t>Reverse Linked List</t>
  </si>
  <si>
    <t>THE linked-list problem everyone must know cold</t>
  </si>
  <si>
    <t>Merge Two Sorted Lists</t>
  </si>
  <si>
    <t>Dummy-head technique — introduce it here, reuse it forever</t>
  </si>
  <si>
    <t>Linked List Cycle</t>
  </si>
  <si>
    <t>Floyd's slow/fast pointer (tortoise and hare)</t>
  </si>
  <si>
    <t>Middle of the Linked List</t>
  </si>
  <si>
    <t>Same slow/fast pointer trick, different goal</t>
  </si>
  <si>
    <t>Remove Linked List Elements</t>
  </si>
  <si>
    <t>Dummy head again, deleting nodes safely</t>
  </si>
  <si>
    <t>Palindrome Linked List</t>
  </si>
  <si>
    <t>Combine: find middle + reverse half + compare</t>
  </si>
  <si>
    <t>Remove Nth Node From End of List</t>
  </si>
  <si>
    <t>Two pointers with a fixed gap between them</t>
  </si>
  <si>
    <t>Add Two Numbers</t>
  </si>
  <si>
    <t>Digit-by-digit addition with carry, linked-list style</t>
  </si>
  <si>
    <t>Reorder List</t>
  </si>
  <si>
    <t>Combine: find middle + reverse half + merge/interleave</t>
  </si>
  <si>
    <t>Copy List with Random Pointer</t>
  </si>
  <si>
    <t>Hashmap to map old nodes to new ones</t>
  </si>
  <si>
    <t>Stacks &amp; Queues</t>
  </si>
  <si>
    <t>Min Stack</t>
  </si>
  <si>
    <t>Design a stack that also tracks its minimum in O(1)</t>
  </si>
  <si>
    <t>Implement Queue using Stacks</t>
  </si>
  <si>
    <t>Forces real understanding of stack vs queue order</t>
  </si>
  <si>
    <t>Implement Stack using Queues</t>
  </si>
  <si>
    <t>The mirror-image of the previous day</t>
  </si>
  <si>
    <t>Evaluate Reverse Polish Notation</t>
  </si>
  <si>
    <t>Classic stack-based expression evaluation</t>
  </si>
  <si>
    <t>Daily Temperatures</t>
  </si>
  <si>
    <t>Introduces the monotonic stack pattern</t>
  </si>
  <si>
    <t>Next Greater Element I</t>
  </si>
  <si>
    <t>Same monotonic stack idea, simpler shape</t>
  </si>
  <si>
    <t>Design Circular Queue</t>
  </si>
  <si>
    <t>Array-backed queue with wraparound indices</t>
  </si>
  <si>
    <t>Asteroid Collision</t>
  </si>
  <si>
    <t>Stack simulation with directional collision rules</t>
  </si>
  <si>
    <t>Binary Search</t>
  </si>
  <si>
    <t>The template every later binary-search problem builds on</t>
  </si>
  <si>
    <t>Search Insert Position</t>
  </si>
  <si>
    <t>Same template, returns insertion point instead of -1</t>
  </si>
  <si>
    <t>First Bad Version</t>
  </si>
  <si>
    <t>Binary search on an API instead of an array</t>
  </si>
  <si>
    <t>Find Peak Element</t>
  </si>
  <si>
    <t>Binary search on a condition, not a sorted value</t>
  </si>
  <si>
    <t>Search in Rotated Sorted Array</t>
  </si>
  <si>
    <t>Decide which half is sorted at each step</t>
  </si>
  <si>
    <t>Find Minimum in Rotated Sorted Array</t>
  </si>
  <si>
    <t>Same rotated-array idea, simpler target</t>
  </si>
  <si>
    <t>Koko Eating Bananas</t>
  </si>
  <si>
    <t>Binary search on the ANSWER, not the array — a mindset shift</t>
  </si>
  <si>
    <t>Capacity To Ship Packages Within D Days</t>
  </si>
  <si>
    <t>Same 'binary search the answer' idea, harder framing</t>
  </si>
  <si>
    <t>Trees</t>
  </si>
  <si>
    <t>Maximum Depth of Binary Tree</t>
  </si>
  <si>
    <t>The 'hello world' of recursive tree problems</t>
  </si>
  <si>
    <t>Invert Binary Tree</t>
  </si>
  <si>
    <t>Simple recursive swap — satisfying to visualize</t>
  </si>
  <si>
    <t>Same Tree</t>
  </si>
  <si>
    <t>Recursive structural comparison</t>
  </si>
  <si>
    <t>Symmetric Tree</t>
  </si>
  <si>
    <t>Compare a tree against its own mirror</t>
  </si>
  <si>
    <t>Binary Tree Level Order Traversal</t>
  </si>
  <si>
    <t>First real BFS-on-a-tree problem, using a queue</t>
  </si>
  <si>
    <t>Balanced Binary Tree</t>
  </si>
  <si>
    <t>Recursion that returns height AND a validity flag</t>
  </si>
  <si>
    <t>Diameter of Binary Tree</t>
  </si>
  <si>
    <t>Track a running answer during a height recursion</t>
  </si>
  <si>
    <t>Path Sum</t>
  </si>
  <si>
    <t>Root-to-leaf recursion with a running total</t>
  </si>
  <si>
    <t>Lowest Common Ancestor of a Binary Search Tree</t>
  </si>
  <si>
    <t>Use BST ordering to skip half the tree each step</t>
  </si>
  <si>
    <t>Validate Binary Search Tree</t>
  </si>
  <si>
    <t>Recursion with a valid (min, max) range passed down</t>
  </si>
  <si>
    <t>Binary Tree Right Side View</t>
  </si>
  <si>
    <t>BFS level-order, keep only the last node per level</t>
  </si>
  <si>
    <t>Kth Smallest Element in a BST</t>
  </si>
  <si>
    <t>In-order traversal gives sorted order for free</t>
  </si>
  <si>
    <t>Graphs (BFS/DFS)</t>
  </si>
  <si>
    <t>Number of Islands</t>
  </si>
  <si>
    <t>THE grid-graph problem — DFS/BFS flood fill</t>
  </si>
  <si>
    <t>Flood Fill</t>
  </si>
  <si>
    <t>Same flood-fill idea, simpler framing — good warm-up</t>
  </si>
  <si>
    <t>Max Area of Island</t>
  </si>
  <si>
    <t>Same traversal, now counting cells instead of islands</t>
  </si>
  <si>
    <t>Clone Graph</t>
  </si>
  <si>
    <t>DFS/BFS + hashmap to avoid cloning nodes twice</t>
  </si>
  <si>
    <t>Course Schedule</t>
  </si>
  <si>
    <t>Cycle detection in a directed graph (topological sort intro)</t>
  </si>
  <si>
    <t>Rotting Oranges</t>
  </si>
  <si>
    <t>Multi-source BFS — start from many points at once</t>
  </si>
  <si>
    <t>Pacific Atlantic Water Flow</t>
  </si>
  <si>
    <t>DFS from the borders inward, then intersect results</t>
  </si>
  <si>
    <t>Word Search</t>
  </si>
  <si>
    <t>DFS with backtracking on a grid</t>
  </si>
  <si>
    <t>Surrounded Regions</t>
  </si>
  <si>
    <t>DFS from the border to mark what should survive</t>
  </si>
  <si>
    <t>Is Graph Bipartite?</t>
  </si>
  <si>
    <t>Two-coloring a graph via BFS/DFS</t>
  </si>
  <si>
    <t>Recursion &amp; Backtracking</t>
  </si>
  <si>
    <t>Subsets</t>
  </si>
  <si>
    <t>The backtracking template: include/exclude each element</t>
  </si>
  <si>
    <t>Permutations</t>
  </si>
  <si>
    <t>Backtracking with a 'used' tracker</t>
  </si>
  <si>
    <t>Combinations</t>
  </si>
  <si>
    <t>Backtracking with a start-index to avoid duplicates</t>
  </si>
  <si>
    <t>Combination Sum</t>
  </si>
  <si>
    <t>Backtracking where the same number can repeat</t>
  </si>
  <si>
    <t>Letter Combinations of a Phone Number</t>
  </si>
  <si>
    <t>Backtracking over a mapping instead of a single array</t>
  </si>
  <si>
    <t>Generate Parentheses</t>
  </si>
  <si>
    <t>Backtracking with two constraints (open/close counts)</t>
  </si>
  <si>
    <t>Palindrome Partitioning</t>
  </si>
  <si>
    <t>Backtracking + a palindrome check at each branch</t>
  </si>
  <si>
    <t>N-Queens</t>
  </si>
  <si>
    <t>Stretch problem — the 'boss level' of backtracking</t>
  </si>
  <si>
    <t>Dynamic Programming (1D)</t>
  </si>
  <si>
    <t>Climbing Stairs</t>
  </si>
  <si>
    <t>Fibonacci in disguise — the gentlest DP intro possible</t>
  </si>
  <si>
    <t>House Robber</t>
  </si>
  <si>
    <t>DP with a 'take it or skip it' choice at each step</t>
  </si>
  <si>
    <t>House Robber II</t>
  </si>
  <si>
    <t>Same idea, now on a circular street</t>
  </si>
  <si>
    <t>Longest Increasing Subsequence</t>
  </si>
  <si>
    <t>Classic O(n^2) DP, can mention O(n log n) as a stretch</t>
  </si>
  <si>
    <t>Coin Change</t>
  </si>
  <si>
    <t>Bottom-up DP building up from amount 0</t>
  </si>
  <si>
    <t>Maximum Product Subarray</t>
  </si>
  <si>
    <t>Track running max AND min (negatives flip things)</t>
  </si>
  <si>
    <t>Word Break</t>
  </si>
  <si>
    <t>DP over string prefixes with a dictionary check</t>
  </si>
  <si>
    <t>Decode Ways</t>
  </si>
  <si>
    <t>DP with a one-or-two-digit branching choice</t>
  </si>
  <si>
    <t>Partition Equal Subset Sum</t>
  </si>
  <si>
    <t>Subset-sum DP — a very common interview variant</t>
  </si>
  <si>
    <t>Combination Sum IV</t>
  </si>
  <si>
    <t>DP version of a backtracking problem from Day 91-98</t>
  </si>
  <si>
    <t>Dynamic Programming (2D/Grids)</t>
  </si>
  <si>
    <t>Unique Paths</t>
  </si>
  <si>
    <t>Simplest 2D grid DP — count paths, no obstacles</t>
  </si>
  <si>
    <t>Minimum Path Sum</t>
  </si>
  <si>
    <t>Same grid, now minimizing a cost instead of counting</t>
  </si>
  <si>
    <t>Triangle</t>
  </si>
  <si>
    <t>Bottom-up DP over a triangular grid</t>
  </si>
  <si>
    <t>Longest Common Subsequence</t>
  </si>
  <si>
    <t>The template 2D string-vs-string DP problem</t>
  </si>
  <si>
    <t>Maximal Square</t>
  </si>
  <si>
    <t>2D DP where each cell depends on 3 neighbors</t>
  </si>
  <si>
    <t>Target Sum</t>
  </si>
  <si>
    <t>DP reframed as a subset-sum counting problem</t>
  </si>
  <si>
    <t>Interleaving String</t>
  </si>
  <si>
    <t>2D DP tracking two string pointers at once</t>
  </si>
  <si>
    <t>Edit Distance</t>
  </si>
  <si>
    <t>Stretch problem — the 'boss level' of string DP</t>
  </si>
  <si>
    <t>Heaps / Priority Queue</t>
  </si>
  <si>
    <t>Kth Largest Element in an Array</t>
  </si>
  <si>
    <t>Min-heap of size k — a reusable trick</t>
  </si>
  <si>
    <t>Last Stone Weight</t>
  </si>
  <si>
    <t>Max-heap simulation, straightforward warm-up</t>
  </si>
  <si>
    <t>K Closest Points to Origin</t>
  </si>
  <si>
    <t>Same size-k heap trick, different comparison key</t>
  </si>
  <si>
    <t>Top K Frequent Words</t>
  </si>
  <si>
    <t>Heap with a custom tie-breaking comparator</t>
  </si>
  <si>
    <t>Task Scheduler</t>
  </si>
  <si>
    <t>Max-heap + cooldown counting — a fun simulation problem</t>
  </si>
  <si>
    <t>Find Median from Data Stream</t>
  </si>
  <si>
    <t>Stretch problem — two heaps balancing each other</t>
  </si>
  <si>
    <t>Greedy</t>
  </si>
  <si>
    <t>Jump Game</t>
  </si>
  <si>
    <t>Track the farthest reachable index greedily</t>
  </si>
  <si>
    <t>Gas Station</t>
  </si>
  <si>
    <t>A greedy proof that feels almost like magic the first time</t>
  </si>
  <si>
    <t>Insert Interval</t>
  </si>
  <si>
    <t>Merge a new interval into an already-sorted list</t>
  </si>
  <si>
    <t>Merge Intervals</t>
  </si>
  <si>
    <t>Sort first, then greedily merge overlaps</t>
  </si>
  <si>
    <t>Non-overlapping Intervals</t>
  </si>
  <si>
    <t>Greedy interval scheduling by earliest end time</t>
  </si>
  <si>
    <t>Capstone (Mixed Patterns)</t>
  </si>
  <si>
    <t>LRU Cache</t>
  </si>
  <si>
    <t>Ties back to your OOP design checkpoint — hashmap + ordered structure</t>
  </si>
  <si>
    <t>Implement Trie (Prefix Tree)</t>
  </si>
  <si>
    <t>A new data structure built entirely from what you already know: nodes + hashmaps</t>
  </si>
  <si>
    <t>Merge k Sorted Lists</t>
  </si>
  <si>
    <t>Grand finale: heaps + linked lists + merging, all in one problem</t>
  </si>
  <si>
    <t>130-Day LeetCode Plan — Progress Tracker</t>
  </si>
  <si>
    <t>Legend</t>
  </si>
  <si>
    <t>Yellow cells on '130-Day Plan' are for students to fill in.</t>
  </si>
  <si>
    <t>Total Problems</t>
  </si>
  <si>
    <t>Status: pick from the dropdown (Not Started / In Progress / Done / Skipped).</t>
  </si>
  <si>
    <t>Done</t>
  </si>
  <si>
    <t>Solution Gist Link: paste your GitHub Gist URL for that day's solution.</t>
  </si>
  <si>
    <t>In Progress</t>
  </si>
  <si>
    <t>Example: https://gist.github.com/your-username/abc123def456</t>
  </si>
  <si>
    <t>Skipped</t>
  </si>
  <si>
    <t>% Complete</t>
  </si>
  <si>
    <t>Difficulty Breakdown</t>
  </si>
  <si>
    <t>completed</t>
  </si>
  <si>
    <t>completed(not)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</si>
</sst>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6100"/>
      <name val="Arial"/>
      <charset val="1"/>
    </font>
    <font>
      <u/>
      <sz val="11"/>
      <color rgb="FF0563C1"/>
      <name val="Arial"/>
      <charset val="1"/>
    </font>
    <font>
      <sz val="11"/>
      <color rgb="FF9C6500"/>
      <name val="Arial"/>
      <charset val="1"/>
    </font>
    <font>
      <sz val="11"/>
      <color rgb="FF9C0006"/>
      <name val="Arial"/>
      <charset val="1"/>
    </font>
    <font>
      <sz val="10"/>
      <name val="Arial"/>
      <family val="2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164" fontId="2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oman-to-integer/" TargetMode="External"/><Relationship Id="rId21" Type="http://schemas.openxmlformats.org/officeDocument/2006/relationships/hyperlink" Target="https://leetcode.com/problems/group-anagrams/" TargetMode="External"/><Relationship Id="rId42" Type="http://schemas.openxmlformats.org/officeDocument/2006/relationships/hyperlink" Target="https://leetcode.com/problems/capacity-to-ship-packages-within-d-days/" TargetMode="External"/><Relationship Id="rId47" Type="http://schemas.openxmlformats.org/officeDocument/2006/relationships/hyperlink" Target="https://leetcode.com/problems/kth-smallest-element-in-a-bst/" TargetMode="External"/><Relationship Id="rId63" Type="http://schemas.openxmlformats.org/officeDocument/2006/relationships/hyperlink" Target="https://leetcode.com/problems/palindrome-partitioning/" TargetMode="External"/><Relationship Id="rId68" Type="http://schemas.openxmlformats.org/officeDocument/2006/relationships/hyperlink" Target="https://leetcode.com/problems/coin-change/" TargetMode="External"/><Relationship Id="rId84" Type="http://schemas.openxmlformats.org/officeDocument/2006/relationships/hyperlink" Target="https://leetcode.com/problems/top-k-frequent-words/" TargetMode="External"/><Relationship Id="rId89" Type="http://schemas.openxmlformats.org/officeDocument/2006/relationships/hyperlink" Target="https://leetcode.com/problems/insert-interval/" TargetMode="External"/><Relationship Id="rId112" Type="http://schemas.openxmlformats.org/officeDocument/2006/relationships/hyperlink" Target="https://leetcode.com/problems/remove-linked-list-elements/" TargetMode="External"/><Relationship Id="rId16" Type="http://schemas.openxmlformats.org/officeDocument/2006/relationships/hyperlink" Target="https://leetcode.com/problems/fruit-into-baskets/" TargetMode="External"/><Relationship Id="rId107" Type="http://schemas.openxmlformats.org/officeDocument/2006/relationships/hyperlink" Target="https://leetcode.com/problems/binary-search/" TargetMode="External"/><Relationship Id="rId11" Type="http://schemas.openxmlformats.org/officeDocument/2006/relationships/hyperlink" Target="https://leetcode.com/problems/sort-colors/" TargetMode="External"/><Relationship Id="rId32" Type="http://schemas.openxmlformats.org/officeDocument/2006/relationships/hyperlink" Target="https://leetcode.com/problems/copy-list-with-random-pointer/" TargetMode="External"/><Relationship Id="rId37" Type="http://schemas.openxmlformats.org/officeDocument/2006/relationships/hyperlink" Target="https://leetcode.com/problems/asteroid-collision/" TargetMode="External"/><Relationship Id="rId53" Type="http://schemas.openxmlformats.org/officeDocument/2006/relationships/hyperlink" Target="https://leetcode.com/problems/pacific-atlantic-water-flow/" TargetMode="External"/><Relationship Id="rId58" Type="http://schemas.openxmlformats.org/officeDocument/2006/relationships/hyperlink" Target="https://leetcode.com/problems/permutations/" TargetMode="External"/><Relationship Id="rId74" Type="http://schemas.openxmlformats.org/officeDocument/2006/relationships/hyperlink" Target="https://leetcode.com/problems/unique-paths/" TargetMode="External"/><Relationship Id="rId79" Type="http://schemas.openxmlformats.org/officeDocument/2006/relationships/hyperlink" Target="https://leetcode.com/problems/target-sum/" TargetMode="External"/><Relationship Id="rId102" Type="http://schemas.openxmlformats.org/officeDocument/2006/relationships/hyperlink" Target="https://leetcode.com/problems/same-tree/" TargetMode="External"/><Relationship Id="rId123" Type="http://schemas.openxmlformats.org/officeDocument/2006/relationships/hyperlink" Target="https://leetcode.com/problems/isomorphic-strings/" TargetMode="External"/><Relationship Id="rId128" Type="http://schemas.openxmlformats.org/officeDocument/2006/relationships/hyperlink" Target="https://leetcode.com/problems/contains-duplicate/" TargetMode="External"/><Relationship Id="rId5" Type="http://schemas.openxmlformats.org/officeDocument/2006/relationships/hyperlink" Target="https://leetcode.com/problems/plus-one/" TargetMode="External"/><Relationship Id="rId90" Type="http://schemas.openxmlformats.org/officeDocument/2006/relationships/hyperlink" Target="https://leetcode.com/problems/merge-intervals/" TargetMode="External"/><Relationship Id="rId95" Type="http://schemas.openxmlformats.org/officeDocument/2006/relationships/hyperlink" Target="https://leetcode.com/problems/last-stone-weight/" TargetMode="External"/><Relationship Id="rId22" Type="http://schemas.openxmlformats.org/officeDocument/2006/relationships/hyperlink" Target="https://leetcode.com/problems/top-k-frequent-elements/" TargetMode="External"/><Relationship Id="rId27" Type="http://schemas.openxmlformats.org/officeDocument/2006/relationships/hyperlink" Target="https://leetcode.com/problems/integer-to-roman/" TargetMode="External"/><Relationship Id="rId43" Type="http://schemas.openxmlformats.org/officeDocument/2006/relationships/hyperlink" Target="https://leetcode.com/problems/binary-tree-level-order-traversal/" TargetMode="External"/><Relationship Id="rId48" Type="http://schemas.openxmlformats.org/officeDocument/2006/relationships/hyperlink" Target="https://leetcode.com/problems/number-of-islands/" TargetMode="External"/><Relationship Id="rId64" Type="http://schemas.openxmlformats.org/officeDocument/2006/relationships/hyperlink" Target="https://leetcode.com/problems/n-queens/" TargetMode="External"/><Relationship Id="rId69" Type="http://schemas.openxmlformats.org/officeDocument/2006/relationships/hyperlink" Target="https://leetcode.com/problems/maximum-product-subarray/" TargetMode="External"/><Relationship Id="rId113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longest-common-prefix/" TargetMode="External"/><Relationship Id="rId80" Type="http://schemas.openxmlformats.org/officeDocument/2006/relationships/hyperlink" Target="https://leetcode.com/problems/interleaving-string/" TargetMode="External"/><Relationship Id="rId85" Type="http://schemas.openxmlformats.org/officeDocument/2006/relationships/hyperlink" Target="https://leetcode.com/problems/task-scheduler/" TargetMode="External"/><Relationship Id="rId12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-stack/" TargetMode="External"/><Relationship Id="rId38" Type="http://schemas.openxmlformats.org/officeDocument/2006/relationships/hyperlink" Target="https://leetcode.com/problems/find-peak-element/" TargetMode="External"/><Relationship Id="rId59" Type="http://schemas.openxmlformats.org/officeDocument/2006/relationships/hyperlink" Target="https://leetcode.com/problems/combinations/" TargetMode="External"/><Relationship Id="rId103" Type="http://schemas.openxmlformats.org/officeDocument/2006/relationships/hyperlink" Target="https://leetcode.com/problems/invert-binary-tree/" TargetMode="External"/><Relationship Id="rId108" Type="http://schemas.openxmlformats.org/officeDocument/2006/relationships/hyperlink" Target="https://leetcode.com/problems/next-greater-element-i/" TargetMode="External"/><Relationship Id="rId124" Type="http://schemas.openxmlformats.org/officeDocument/2006/relationships/hyperlink" Target="https://leetcode.com/problems/valid-anagram/" TargetMode="External"/><Relationship Id="rId129" Type="http://schemas.openxmlformats.org/officeDocument/2006/relationships/hyperlink" Target="https://leetcode.com/problems/best-time-to-buy-and-sell-stock/" TargetMode="External"/><Relationship Id="rId54" Type="http://schemas.openxmlformats.org/officeDocument/2006/relationships/hyperlink" Target="https://leetcode.com/problems/word-search/" TargetMode="External"/><Relationship Id="rId70" Type="http://schemas.openxmlformats.org/officeDocument/2006/relationships/hyperlink" Target="https://leetcode.com/problems/word-break/" TargetMode="External"/><Relationship Id="rId75" Type="http://schemas.openxmlformats.org/officeDocument/2006/relationships/hyperlink" Target="https://leetcode.com/problems/minimum-path-sum/" TargetMode="External"/><Relationship Id="rId91" Type="http://schemas.openxmlformats.org/officeDocument/2006/relationships/hyperlink" Target="https://leetcode.com/problems/non-overlapping-intervals/" TargetMode="External"/><Relationship Id="rId96" Type="http://schemas.openxmlformats.org/officeDocument/2006/relationships/hyperlink" Target="https://leetcode.com/problems/climbing-stairs/" TargetMode="External"/><Relationship Id="rId1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remove-duplicates-from-sorted-array/" TargetMode="External"/><Relationship Id="rId23" Type="http://schemas.openxmlformats.org/officeDocument/2006/relationships/hyperlink" Target="https://leetcode.com/problems/product-of-array-except-self/" TargetMode="External"/><Relationship Id="rId28" Type="http://schemas.openxmlformats.org/officeDocument/2006/relationships/hyperlink" Target="https://leetcode.com/problems/zigzag-conversion/" TargetMode="External"/><Relationship Id="rId49" Type="http://schemas.openxmlformats.org/officeDocument/2006/relationships/hyperlink" Target="https://leetcode.com/problems/max-area-of-island/" TargetMode="External"/><Relationship Id="rId114" Type="http://schemas.openxmlformats.org/officeDocument/2006/relationships/hyperlink" Target="https://leetcode.com/problems/linked-list-cycle/" TargetMode="External"/><Relationship Id="rId119" Type="http://schemas.openxmlformats.org/officeDocument/2006/relationships/hyperlink" Target="https://leetcode.com/problems/find-the-index-of-the-first-occurrence-in-a-string/" TargetMode="External"/><Relationship Id="rId44" Type="http://schemas.openxmlformats.org/officeDocument/2006/relationships/hyperlink" Target="https://leetcode.com/problems/lowest-common-ancestor-of-a-binary-search-tree/" TargetMode="External"/><Relationship Id="rId60" Type="http://schemas.openxmlformats.org/officeDocument/2006/relationships/hyperlink" Target="https://leetcode.com/problems/combination-sum/" TargetMode="External"/><Relationship Id="rId65" Type="http://schemas.openxmlformats.org/officeDocument/2006/relationships/hyperlink" Target="https://leetcode.com/problems/house-robber/" TargetMode="External"/><Relationship Id="rId81" Type="http://schemas.openxmlformats.org/officeDocument/2006/relationships/hyperlink" Target="https://leetcode.com/problems/edit-distance/" TargetMode="External"/><Relationship Id="rId86" Type="http://schemas.openxmlformats.org/officeDocument/2006/relationships/hyperlink" Target="https://leetcode.com/problems/find-median-from-data-stream/" TargetMode="External"/><Relationship Id="rId130" Type="http://schemas.openxmlformats.org/officeDocument/2006/relationships/hyperlink" Target="https://leetcode.com/problems/two-sum/" TargetMode="External"/><Relationship Id="rId13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find-all-anagrams-in-a-string/" TargetMode="External"/><Relationship Id="rId39" Type="http://schemas.openxmlformats.org/officeDocument/2006/relationships/hyperlink" Target="https://leetcode.com/problems/search-in-rotated-sorted-array/" TargetMode="External"/><Relationship Id="rId109" Type="http://schemas.openxmlformats.org/officeDocument/2006/relationships/hyperlink" Target="https://leetcode.com/problems/implement-stack-using-queues/" TargetMode="External"/><Relationship Id="rId34" Type="http://schemas.openxmlformats.org/officeDocument/2006/relationships/hyperlink" Target="https://leetcode.com/problems/evaluate-reverse-polish-notation/" TargetMode="External"/><Relationship Id="rId50" Type="http://schemas.openxmlformats.org/officeDocument/2006/relationships/hyperlink" Target="https://leetcode.com/problems/clone-graph/" TargetMode="External"/><Relationship Id="rId55" Type="http://schemas.openxmlformats.org/officeDocument/2006/relationships/hyperlink" Target="https://leetcode.com/problems/surrounded-regions/" TargetMode="External"/><Relationship Id="rId76" Type="http://schemas.openxmlformats.org/officeDocument/2006/relationships/hyperlink" Target="https://leetcode.com/problems/triangle/" TargetMode="External"/><Relationship Id="rId97" Type="http://schemas.openxmlformats.org/officeDocument/2006/relationships/hyperlink" Target="https://leetcode.com/problems/flood-fill/" TargetMode="External"/><Relationship Id="rId104" Type="http://schemas.openxmlformats.org/officeDocument/2006/relationships/hyperlink" Target="https://leetcode.com/problems/maximum-depth-of-binary-tree/" TargetMode="External"/><Relationship Id="rId120" Type="http://schemas.openxmlformats.org/officeDocument/2006/relationships/hyperlink" Target="https://leetcode.com/problems/valid-parentheses/" TargetMode="External"/><Relationship Id="rId125" Type="http://schemas.openxmlformats.org/officeDocument/2006/relationships/hyperlink" Target="https://leetcode.com/problems/maximum-average-subarray-i/" TargetMode="External"/><Relationship Id="rId7" Type="http://schemas.openxmlformats.org/officeDocument/2006/relationships/hyperlink" Target="https://leetcode.com/problems/merge-sorted-array/" TargetMode="External"/><Relationship Id="rId71" Type="http://schemas.openxmlformats.org/officeDocument/2006/relationships/hyperlink" Target="https://leetcode.com/problems/decode-ways/" TargetMode="External"/><Relationship Id="rId92" Type="http://schemas.openxmlformats.org/officeDocument/2006/relationships/hyperlink" Target="https://leetcode.com/problems/lru-cache/" TargetMode="External"/><Relationship Id="rId2" Type="http://schemas.openxmlformats.org/officeDocument/2006/relationships/hyperlink" Target="https://leetcode.com/problems/move-zeroes/" TargetMode="External"/><Relationship Id="rId29" Type="http://schemas.openxmlformats.org/officeDocument/2006/relationships/hyperlink" Target="https://leetcode.com/problems/remove-nth-node-from-end-of-list/" TargetMode="External"/><Relationship Id="rId24" Type="http://schemas.openxmlformats.org/officeDocument/2006/relationships/hyperlink" Target="https://leetcode.com/problems/longest-consecutive-sequence/" TargetMode="External"/><Relationship Id="rId40" Type="http://schemas.openxmlformats.org/officeDocument/2006/relationships/hyperlink" Target="https://leetcode.com/problems/find-minimum-in-rotated-sorted-array/" TargetMode="External"/><Relationship Id="rId45" Type="http://schemas.openxmlformats.org/officeDocument/2006/relationships/hyperlink" Target="https://leetcode.com/problems/validate-binary-search-tree/" TargetMode="External"/><Relationship Id="rId66" Type="http://schemas.openxmlformats.org/officeDocument/2006/relationships/hyperlink" Target="https://leetcode.com/problems/house-robber-ii/" TargetMode="External"/><Relationship Id="rId87" Type="http://schemas.openxmlformats.org/officeDocument/2006/relationships/hyperlink" Target="https://leetcode.com/problems/jump-game/" TargetMode="External"/><Relationship Id="rId110" Type="http://schemas.openxmlformats.org/officeDocument/2006/relationships/hyperlink" Target="https://leetcode.com/problems/implement-queue-using-stacks/" TargetMode="External"/><Relationship Id="rId115" Type="http://schemas.openxmlformats.org/officeDocument/2006/relationships/hyperlink" Target="https://leetcode.com/problems/merge-two-sorted-lists/" TargetMode="External"/><Relationship Id="rId131" Type="http://schemas.openxmlformats.org/officeDocument/2006/relationships/vmlDrawing" Target="../drawings/vmlDrawing1.vml"/><Relationship Id="rId61" Type="http://schemas.openxmlformats.org/officeDocument/2006/relationships/hyperlink" Target="https://leetcode.com/problems/letter-combinations-of-a-phone-number/" TargetMode="External"/><Relationship Id="rId82" Type="http://schemas.openxmlformats.org/officeDocument/2006/relationships/hyperlink" Target="https://leetcode.com/problems/kth-largest-element-in-an-array/" TargetMode="External"/><Relationship Id="rId19" Type="http://schemas.openxmlformats.org/officeDocument/2006/relationships/hyperlink" Target="https://leetcode.com/problems/permutation-in-string/" TargetMode="External"/><Relationship Id="rId14" Type="http://schemas.openxmlformats.org/officeDocument/2006/relationships/hyperlink" Target="https://leetcode.com/problems/longest-substring-without-repeating-characters/" TargetMode="External"/><Relationship Id="rId30" Type="http://schemas.openxmlformats.org/officeDocument/2006/relationships/hyperlink" Target="https://leetcode.com/problems/add-two-numbers/" TargetMode="External"/><Relationship Id="rId35" Type="http://schemas.openxmlformats.org/officeDocument/2006/relationships/hyperlink" Target="https://leetcode.com/problems/daily-temperatures/" TargetMode="External"/><Relationship Id="rId56" Type="http://schemas.openxmlformats.org/officeDocument/2006/relationships/hyperlink" Target="https://leetcode.com/problems/is-graph-bipartite/" TargetMode="External"/><Relationship Id="rId77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leetcode.com/problems/balanced-binary-tree/" TargetMode="External"/><Relationship Id="rId105" Type="http://schemas.openxmlformats.org/officeDocument/2006/relationships/hyperlink" Target="https://leetcode.com/problems/first-bad-version/" TargetMode="External"/><Relationship Id="rId126" Type="http://schemas.openxmlformats.org/officeDocument/2006/relationships/hyperlink" Target="https://leetcode.com/problems/squares-of-a-sorted-array/" TargetMode="External"/><Relationship Id="rId8" Type="http://schemas.openxmlformats.org/officeDocument/2006/relationships/hyperlink" Target="https://leetcode.com/problems/valid-palindrome/" TargetMode="External"/><Relationship Id="rId51" Type="http://schemas.openxmlformats.org/officeDocument/2006/relationships/hyperlink" Target="https://leetcode.com/problems/course-schedule/" TargetMode="External"/><Relationship Id="rId72" Type="http://schemas.openxmlformats.org/officeDocument/2006/relationships/hyperlink" Target="https://leetcode.com/problems/partition-equal-subset-sum/" TargetMode="External"/><Relationship Id="rId93" Type="http://schemas.openxmlformats.org/officeDocument/2006/relationships/hyperlink" Target="https://leetcode.com/problems/implement-trie-prefix-tree/" TargetMode="External"/><Relationship Id="rId98" Type="http://schemas.openxmlformats.org/officeDocument/2006/relationships/hyperlink" Target="https://leetcode.com/problems/path-sum/" TargetMode="External"/><Relationship Id="rId121" Type="http://schemas.openxmlformats.org/officeDocument/2006/relationships/hyperlink" Target="https://leetcode.com/problems/ransom-note/" TargetMode="External"/><Relationship Id="rId3" Type="http://schemas.openxmlformats.org/officeDocument/2006/relationships/hyperlink" Target="https://leetcode.com/problems/single-number/" TargetMode="External"/><Relationship Id="rId25" Type="http://schemas.openxmlformats.org/officeDocument/2006/relationships/hyperlink" Target="https://leetcode.com/problems/reverse-words-in-a-string/" TargetMode="External"/><Relationship Id="rId46" Type="http://schemas.openxmlformats.org/officeDocument/2006/relationships/hyperlink" Target="https://leetcode.com/problems/binary-tree-right-side-view/" TargetMode="External"/><Relationship Id="rId67" Type="http://schemas.openxmlformats.org/officeDocument/2006/relationships/hyperlink" Target="https://leetcode.com/problems/longest-increasing-subsequence/" TargetMode="External"/><Relationship Id="rId116" Type="http://schemas.openxmlformats.org/officeDocument/2006/relationships/hyperlink" Target="https://leetcode.com/problems/reverse-linked-list/" TargetMode="External"/><Relationship Id="rId20" Type="http://schemas.openxmlformats.org/officeDocument/2006/relationships/hyperlink" Target="https://leetcode.com/problems/sliding-window-maximum/" TargetMode="External"/><Relationship Id="rId41" Type="http://schemas.openxmlformats.org/officeDocument/2006/relationships/hyperlink" Target="https://leetcode.com/problems/koko-eating-bananas/" TargetMode="External"/><Relationship Id="rId62" Type="http://schemas.openxmlformats.org/officeDocument/2006/relationships/hyperlink" Target="https://leetcode.com/problems/generate-parentheses/" TargetMode="External"/><Relationship Id="rId83" Type="http://schemas.openxmlformats.org/officeDocument/2006/relationships/hyperlink" Target="https://leetcode.com/problems/k-closest-points-to-origin/" TargetMode="External"/><Relationship Id="rId88" Type="http://schemas.openxmlformats.org/officeDocument/2006/relationships/hyperlink" Target="https://leetcode.com/problems/gas-station/" TargetMode="External"/><Relationship Id="rId111" Type="http://schemas.openxmlformats.org/officeDocument/2006/relationships/hyperlink" Target="https://leetcode.com/problems/palindrome-linked-list/" TargetMode="External"/><Relationship Id="rId132" Type="http://schemas.openxmlformats.org/officeDocument/2006/relationships/comments" Target="../comments1.xml"/><Relationship Id="rId15" Type="http://schemas.openxmlformats.org/officeDocument/2006/relationships/hyperlink" Target="https://leetcode.com/problems/minimum-size-subarray-sum/" TargetMode="External"/><Relationship Id="rId36" Type="http://schemas.openxmlformats.org/officeDocument/2006/relationships/hyperlink" Target="https://leetcode.com/problems/design-circular-queue/" TargetMode="External"/><Relationship Id="rId57" Type="http://schemas.openxmlformats.org/officeDocument/2006/relationships/hyperlink" Target="https://leetcode.com/problems/subsets/" TargetMode="External"/><Relationship Id="rId106" Type="http://schemas.openxmlformats.org/officeDocument/2006/relationships/hyperlink" Target="https://leetcode.com/problems/search-insert-position/" TargetMode="External"/><Relationship Id="rId127" Type="http://schemas.openxmlformats.org/officeDocument/2006/relationships/hyperlink" Target="https://leetcode.com/problems/remove-element/" TargetMode="External"/><Relationship Id="rId10" Type="http://schemas.openxmlformats.org/officeDocument/2006/relationships/hyperlink" Target="https://leetcode.com/problems/two-sum-ii-input-array-is-sorted/" TargetMode="External"/><Relationship Id="rId31" Type="http://schemas.openxmlformats.org/officeDocument/2006/relationships/hyperlink" Target="https://leetcode.com/problems/reorder-list/" TargetMode="External"/><Relationship Id="rId52" Type="http://schemas.openxmlformats.org/officeDocument/2006/relationships/hyperlink" Target="https://leetcode.com/problems/rotting-oranges/" TargetMode="External"/><Relationship Id="rId73" Type="http://schemas.openxmlformats.org/officeDocument/2006/relationships/hyperlink" Target="https://leetcode.com/problems/combination-sum-iv/" TargetMode="External"/><Relationship Id="rId78" Type="http://schemas.openxmlformats.org/officeDocument/2006/relationships/hyperlink" Target="https://leetcode.com/problems/maximal-square/" TargetMode="External"/><Relationship Id="rId94" Type="http://schemas.openxmlformats.org/officeDocument/2006/relationships/hyperlink" Target="https://leetcode.com/problems/merge-k-sorted-lists/" TargetMode="External"/><Relationship Id="rId99" Type="http://schemas.openxmlformats.org/officeDocument/2006/relationships/hyperlink" Target="https://leetcode.com/problems/diameter-of-binary-tree/" TargetMode="External"/><Relationship Id="rId101" Type="http://schemas.openxmlformats.org/officeDocument/2006/relationships/hyperlink" Target="https://leetcode.com/problems/symmetric-tree/" TargetMode="External"/><Relationship Id="rId122" Type="http://schemas.openxmlformats.org/officeDocument/2006/relationships/hyperlink" Target="https://leetcode.com/problems/word-pattern/" TargetMode="External"/><Relationship Id="rId4" Type="http://schemas.openxmlformats.org/officeDocument/2006/relationships/hyperlink" Target="https://leetcode.com/problems/majority-element/" TargetMode="External"/><Relationship Id="rId9" Type="http://schemas.openxmlformats.org/officeDocument/2006/relationships/hyperlink" Target="https://leetcode.com/problems/reverse-string/" TargetMode="External"/><Relationship Id="rId26" Type="http://schemas.openxmlformats.org/officeDocument/2006/relationships/hyperlink" Target="https://leetcode.com/problems/string-compres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ColWidth="8.6640625" defaultRowHeight="14.25" x14ac:dyDescent="0.45"/>
  <cols>
    <col min="1" max="1" width="6" customWidth="1"/>
    <col min="2" max="2" width="24" customWidth="1"/>
    <col min="3" max="3" width="42" customWidth="1"/>
    <col min="4" max="4" width="12" customWidth="1"/>
    <col min="5" max="5" width="14" customWidth="1"/>
    <col min="6" max="6" width="10" customWidth="1"/>
    <col min="7" max="7" width="46" customWidth="1"/>
    <col min="8" max="8" width="14" customWidth="1"/>
    <col min="9" max="9" width="24" customWidth="1"/>
    <col min="10" max="10" width="34" customWidth="1"/>
  </cols>
  <sheetData>
    <row r="1" spans="1:1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45">
      <c r="A2" s="2">
        <v>1</v>
      </c>
      <c r="B2" s="3" t="s">
        <v>10</v>
      </c>
      <c r="C2" s="3" t="s">
        <v>11</v>
      </c>
      <c r="D2" s="4" t="s">
        <v>12</v>
      </c>
      <c r="E2" s="5" t="s">
        <v>13</v>
      </c>
      <c r="F2" s="2">
        <v>15</v>
      </c>
      <c r="G2" s="6" t="s">
        <v>14</v>
      </c>
      <c r="H2" s="7" t="s">
        <v>302</v>
      </c>
      <c r="I2" s="3"/>
      <c r="J2" s="7"/>
    </row>
    <row r="3" spans="1:10" x14ac:dyDescent="0.45">
      <c r="A3" s="2">
        <v>2</v>
      </c>
      <c r="B3" s="3" t="s">
        <v>10</v>
      </c>
      <c r="C3" s="3" t="s">
        <v>16</v>
      </c>
      <c r="D3" s="4" t="s">
        <v>12</v>
      </c>
      <c r="E3" s="5" t="s">
        <v>13</v>
      </c>
      <c r="F3" s="2">
        <v>15</v>
      </c>
      <c r="G3" s="6" t="s">
        <v>17</v>
      </c>
      <c r="H3" s="7" t="s">
        <v>302</v>
      </c>
      <c r="I3" s="3"/>
      <c r="J3" s="7"/>
    </row>
    <row r="4" spans="1:10" x14ac:dyDescent="0.45">
      <c r="A4" s="2">
        <v>3</v>
      </c>
      <c r="B4" s="3" t="s">
        <v>10</v>
      </c>
      <c r="C4" s="3" t="s">
        <v>18</v>
      </c>
      <c r="D4" s="4" t="s">
        <v>12</v>
      </c>
      <c r="E4" s="5" t="s">
        <v>13</v>
      </c>
      <c r="F4" s="2">
        <v>10</v>
      </c>
      <c r="G4" s="6" t="s">
        <v>19</v>
      </c>
      <c r="H4" s="7" t="s">
        <v>302</v>
      </c>
      <c r="I4" s="3"/>
      <c r="J4" s="7"/>
    </row>
    <row r="5" spans="1:10" x14ac:dyDescent="0.45">
      <c r="A5" s="2">
        <v>4</v>
      </c>
      <c r="B5" s="3" t="s">
        <v>10</v>
      </c>
      <c r="C5" s="3" t="s">
        <v>20</v>
      </c>
      <c r="D5" s="8" t="s">
        <v>21</v>
      </c>
      <c r="E5" s="5" t="s">
        <v>13</v>
      </c>
      <c r="F5" s="2">
        <v>20</v>
      </c>
      <c r="G5" s="6" t="s">
        <v>22</v>
      </c>
      <c r="H5" s="7" t="s">
        <v>15</v>
      </c>
      <c r="I5" s="3"/>
      <c r="J5" s="7"/>
    </row>
    <row r="6" spans="1:10" x14ac:dyDescent="0.45">
      <c r="A6" s="2">
        <v>5</v>
      </c>
      <c r="B6" s="3" t="s">
        <v>10</v>
      </c>
      <c r="C6" s="3" t="s">
        <v>23</v>
      </c>
      <c r="D6" s="4" t="s">
        <v>12</v>
      </c>
      <c r="E6" s="5" t="s">
        <v>13</v>
      </c>
      <c r="F6" s="2">
        <v>15</v>
      </c>
      <c r="G6" s="6" t="s">
        <v>24</v>
      </c>
      <c r="H6" s="7" t="s">
        <v>302</v>
      </c>
      <c r="I6" s="3"/>
      <c r="J6" s="7"/>
    </row>
    <row r="7" spans="1:10" x14ac:dyDescent="0.45">
      <c r="A7" s="2">
        <v>6</v>
      </c>
      <c r="B7" s="3" t="s">
        <v>10</v>
      </c>
      <c r="C7" s="3" t="s">
        <v>25</v>
      </c>
      <c r="D7" s="4" t="s">
        <v>12</v>
      </c>
      <c r="E7" s="5" t="s">
        <v>13</v>
      </c>
      <c r="F7" s="2">
        <v>10</v>
      </c>
      <c r="G7" s="6" t="s">
        <v>26</v>
      </c>
      <c r="H7" s="7" t="s">
        <v>302</v>
      </c>
      <c r="I7" s="3"/>
      <c r="J7" s="7"/>
    </row>
    <row r="8" spans="1:10" x14ac:dyDescent="0.45">
      <c r="A8" s="2">
        <v>7</v>
      </c>
      <c r="B8" s="3" t="s">
        <v>10</v>
      </c>
      <c r="C8" s="3" t="s">
        <v>27</v>
      </c>
      <c r="D8" s="4" t="s">
        <v>12</v>
      </c>
      <c r="E8" s="5" t="s">
        <v>13</v>
      </c>
      <c r="F8" s="2">
        <v>15</v>
      </c>
      <c r="G8" s="6" t="s">
        <v>28</v>
      </c>
      <c r="H8" s="7" t="s">
        <v>302</v>
      </c>
      <c r="I8" s="3"/>
      <c r="J8" s="7"/>
    </row>
    <row r="9" spans="1:10" x14ac:dyDescent="0.45">
      <c r="A9" s="2">
        <v>8</v>
      </c>
      <c r="B9" s="3" t="s">
        <v>10</v>
      </c>
      <c r="C9" s="3" t="s">
        <v>29</v>
      </c>
      <c r="D9" s="4" t="s">
        <v>12</v>
      </c>
      <c r="E9" s="5" t="s">
        <v>13</v>
      </c>
      <c r="F9" s="2">
        <v>10</v>
      </c>
      <c r="G9" s="6" t="s">
        <v>30</v>
      </c>
      <c r="H9" s="7" t="s">
        <v>302</v>
      </c>
      <c r="I9" s="3"/>
      <c r="J9" s="7"/>
    </row>
    <row r="10" spans="1:10" x14ac:dyDescent="0.45">
      <c r="A10" s="2">
        <v>9</v>
      </c>
      <c r="B10" s="3" t="s">
        <v>10</v>
      </c>
      <c r="C10" s="3" t="s">
        <v>31</v>
      </c>
      <c r="D10" s="4" t="s">
        <v>12</v>
      </c>
      <c r="E10" s="5" t="s">
        <v>13</v>
      </c>
      <c r="F10" s="2">
        <v>15</v>
      </c>
      <c r="G10" s="6" t="s">
        <v>32</v>
      </c>
      <c r="H10" s="7" t="s">
        <v>303</v>
      </c>
      <c r="I10" s="3"/>
      <c r="J10" s="7"/>
    </row>
    <row r="11" spans="1:10" ht="27" x14ac:dyDescent="0.45">
      <c r="A11" s="2">
        <v>10</v>
      </c>
      <c r="B11" s="3" t="s">
        <v>10</v>
      </c>
      <c r="C11" s="3" t="s">
        <v>33</v>
      </c>
      <c r="D11" s="4" t="s">
        <v>12</v>
      </c>
      <c r="E11" s="5" t="s">
        <v>13</v>
      </c>
      <c r="F11" s="2">
        <v>15</v>
      </c>
      <c r="G11" s="6" t="s">
        <v>34</v>
      </c>
      <c r="H11" s="7" t="s">
        <v>303</v>
      </c>
      <c r="I11" s="3"/>
      <c r="J11" s="7"/>
    </row>
    <row r="12" spans="1:10" x14ac:dyDescent="0.45">
      <c r="A12" s="2">
        <v>11</v>
      </c>
      <c r="B12" s="3" t="s">
        <v>35</v>
      </c>
      <c r="C12" s="3" t="s">
        <v>36</v>
      </c>
      <c r="D12" s="4" t="s">
        <v>12</v>
      </c>
      <c r="E12" s="5" t="s">
        <v>13</v>
      </c>
      <c r="F12" s="2">
        <v>15</v>
      </c>
      <c r="G12" s="6" t="s">
        <v>37</v>
      </c>
      <c r="H12" s="7" t="s">
        <v>302</v>
      </c>
      <c r="I12" s="3"/>
      <c r="J12" s="7"/>
    </row>
    <row r="13" spans="1:10" x14ac:dyDescent="0.45">
      <c r="A13" s="2">
        <v>12</v>
      </c>
      <c r="B13" s="3" t="s">
        <v>35</v>
      </c>
      <c r="C13" s="3" t="s">
        <v>38</v>
      </c>
      <c r="D13" s="4" t="s">
        <v>12</v>
      </c>
      <c r="E13" s="5" t="s">
        <v>13</v>
      </c>
      <c r="F13" s="2">
        <v>10</v>
      </c>
      <c r="G13" s="6" t="s">
        <v>39</v>
      </c>
      <c r="H13" s="7" t="s">
        <v>302</v>
      </c>
      <c r="I13" s="3"/>
      <c r="J13" s="7"/>
    </row>
    <row r="14" spans="1:10" ht="27" x14ac:dyDescent="0.45">
      <c r="A14" s="2">
        <v>13</v>
      </c>
      <c r="B14" s="3" t="s">
        <v>35</v>
      </c>
      <c r="C14" s="3" t="s">
        <v>40</v>
      </c>
      <c r="D14" s="8" t="s">
        <v>21</v>
      </c>
      <c r="E14" s="5" t="s">
        <v>13</v>
      </c>
      <c r="F14" s="2">
        <v>15</v>
      </c>
      <c r="G14" s="6" t="s">
        <v>41</v>
      </c>
      <c r="H14" s="7" t="s">
        <v>15</v>
      </c>
      <c r="I14" s="3"/>
      <c r="J14" s="7"/>
    </row>
    <row r="15" spans="1:10" x14ac:dyDescent="0.45">
      <c r="A15" s="2">
        <v>14</v>
      </c>
      <c r="B15" s="3" t="s">
        <v>35</v>
      </c>
      <c r="C15" s="3" t="s">
        <v>42</v>
      </c>
      <c r="D15" s="4" t="s">
        <v>12</v>
      </c>
      <c r="E15" s="5" t="s">
        <v>13</v>
      </c>
      <c r="F15" s="2">
        <v>10</v>
      </c>
      <c r="G15" s="6" t="s">
        <v>43</v>
      </c>
      <c r="H15" s="7" t="s">
        <v>15</v>
      </c>
      <c r="I15" s="3"/>
      <c r="J15" s="7"/>
    </row>
    <row r="16" spans="1:10" ht="27" x14ac:dyDescent="0.45">
      <c r="A16" s="2">
        <v>15</v>
      </c>
      <c r="B16" s="3" t="s">
        <v>35</v>
      </c>
      <c r="C16" s="3" t="s">
        <v>44</v>
      </c>
      <c r="D16" s="4" t="s">
        <v>12</v>
      </c>
      <c r="E16" s="5" t="s">
        <v>13</v>
      </c>
      <c r="F16" s="2">
        <v>15</v>
      </c>
      <c r="G16" s="6" t="s">
        <v>45</v>
      </c>
      <c r="H16" s="7" t="s">
        <v>15</v>
      </c>
      <c r="I16" s="3"/>
      <c r="J16" s="7"/>
    </row>
    <row r="17" spans="1:10" x14ac:dyDescent="0.45">
      <c r="A17" s="2">
        <v>16</v>
      </c>
      <c r="B17" s="3" t="s">
        <v>35</v>
      </c>
      <c r="C17" s="3" t="s">
        <v>46</v>
      </c>
      <c r="D17" s="8" t="s">
        <v>21</v>
      </c>
      <c r="E17" s="5" t="s">
        <v>13</v>
      </c>
      <c r="F17" s="2">
        <v>20</v>
      </c>
      <c r="G17" s="6" t="s">
        <v>47</v>
      </c>
      <c r="H17" s="7" t="s">
        <v>15</v>
      </c>
      <c r="I17" s="3"/>
      <c r="J17" s="7"/>
    </row>
    <row r="18" spans="1:10" ht="27" x14ac:dyDescent="0.45">
      <c r="A18" s="2">
        <v>17</v>
      </c>
      <c r="B18" s="3" t="s">
        <v>35</v>
      </c>
      <c r="C18" s="3" t="s">
        <v>48</v>
      </c>
      <c r="D18" s="8" t="s">
        <v>21</v>
      </c>
      <c r="E18" s="5" t="s">
        <v>13</v>
      </c>
      <c r="F18" s="2">
        <v>25</v>
      </c>
      <c r="G18" s="6" t="s">
        <v>49</v>
      </c>
      <c r="H18" s="7" t="s">
        <v>15</v>
      </c>
      <c r="I18" s="3"/>
      <c r="J18" s="7"/>
    </row>
    <row r="19" spans="1:10" ht="27" x14ac:dyDescent="0.45">
      <c r="A19" s="2">
        <v>18</v>
      </c>
      <c r="B19" s="3" t="s">
        <v>35</v>
      </c>
      <c r="C19" s="3" t="s">
        <v>50</v>
      </c>
      <c r="D19" s="8" t="s">
        <v>21</v>
      </c>
      <c r="E19" s="5" t="s">
        <v>13</v>
      </c>
      <c r="F19" s="2">
        <v>20</v>
      </c>
      <c r="G19" s="6" t="s">
        <v>51</v>
      </c>
      <c r="H19" s="7" t="s">
        <v>15</v>
      </c>
      <c r="I19" s="3"/>
      <c r="J19" s="7"/>
    </row>
    <row r="20" spans="1:10" x14ac:dyDescent="0.45">
      <c r="A20" s="2">
        <v>19</v>
      </c>
      <c r="B20" s="3" t="s">
        <v>52</v>
      </c>
      <c r="C20" s="3" t="s">
        <v>53</v>
      </c>
      <c r="D20" s="4" t="s">
        <v>12</v>
      </c>
      <c r="E20" s="5" t="s">
        <v>13</v>
      </c>
      <c r="F20" s="2">
        <v>15</v>
      </c>
      <c r="G20" s="6" t="s">
        <v>54</v>
      </c>
      <c r="H20" s="7" t="s">
        <v>15</v>
      </c>
      <c r="I20" s="3"/>
      <c r="J20" s="7"/>
    </row>
    <row r="21" spans="1:10" x14ac:dyDescent="0.45">
      <c r="A21" s="2">
        <v>20</v>
      </c>
      <c r="B21" s="3" t="s">
        <v>52</v>
      </c>
      <c r="C21" s="3" t="s">
        <v>55</v>
      </c>
      <c r="D21" s="8" t="s">
        <v>21</v>
      </c>
      <c r="E21" s="5" t="s">
        <v>13</v>
      </c>
      <c r="F21" s="2">
        <v>20</v>
      </c>
      <c r="G21" s="6" t="s">
        <v>56</v>
      </c>
      <c r="H21" s="7" t="s">
        <v>15</v>
      </c>
      <c r="I21" s="3"/>
      <c r="J21" s="7"/>
    </row>
    <row r="22" spans="1:10" x14ac:dyDescent="0.45">
      <c r="A22" s="2">
        <v>21</v>
      </c>
      <c r="B22" s="3" t="s">
        <v>52</v>
      </c>
      <c r="C22" s="3" t="s">
        <v>57</v>
      </c>
      <c r="D22" s="8" t="s">
        <v>21</v>
      </c>
      <c r="E22" s="5" t="s">
        <v>13</v>
      </c>
      <c r="F22" s="2">
        <v>20</v>
      </c>
      <c r="G22" s="6" t="s">
        <v>58</v>
      </c>
      <c r="H22" s="7" t="s">
        <v>15</v>
      </c>
      <c r="I22" s="3"/>
      <c r="J22" s="7"/>
    </row>
    <row r="23" spans="1:10" x14ac:dyDescent="0.45">
      <c r="A23" s="2">
        <v>22</v>
      </c>
      <c r="B23" s="3" t="s">
        <v>52</v>
      </c>
      <c r="C23" s="3" t="s">
        <v>59</v>
      </c>
      <c r="D23" s="8" t="s">
        <v>21</v>
      </c>
      <c r="E23" s="5" t="s">
        <v>13</v>
      </c>
      <c r="F23" s="2">
        <v>20</v>
      </c>
      <c r="G23" s="6" t="s">
        <v>60</v>
      </c>
      <c r="H23" s="7" t="s">
        <v>15</v>
      </c>
      <c r="I23" s="3"/>
      <c r="J23" s="7"/>
    </row>
    <row r="24" spans="1:10" x14ac:dyDescent="0.45">
      <c r="A24" s="2">
        <v>23</v>
      </c>
      <c r="B24" s="3" t="s">
        <v>52</v>
      </c>
      <c r="C24" s="3" t="s">
        <v>61</v>
      </c>
      <c r="D24" s="8" t="s">
        <v>21</v>
      </c>
      <c r="E24" s="5" t="s">
        <v>13</v>
      </c>
      <c r="F24" s="2">
        <v>25</v>
      </c>
      <c r="G24" s="6" t="s">
        <v>62</v>
      </c>
      <c r="H24" s="7" t="s">
        <v>15</v>
      </c>
      <c r="I24" s="3"/>
      <c r="J24" s="7"/>
    </row>
    <row r="25" spans="1:10" x14ac:dyDescent="0.45">
      <c r="A25" s="2">
        <v>24</v>
      </c>
      <c r="B25" s="3" t="s">
        <v>52</v>
      </c>
      <c r="C25" s="3" t="s">
        <v>63</v>
      </c>
      <c r="D25" s="8" t="s">
        <v>21</v>
      </c>
      <c r="E25" s="5" t="s">
        <v>13</v>
      </c>
      <c r="F25" s="2">
        <v>20</v>
      </c>
      <c r="G25" s="6" t="s">
        <v>64</v>
      </c>
      <c r="H25" s="7" t="s">
        <v>15</v>
      </c>
      <c r="I25" s="3"/>
      <c r="J25" s="7"/>
    </row>
    <row r="26" spans="1:10" ht="27" x14ac:dyDescent="0.45">
      <c r="A26" s="2">
        <v>25</v>
      </c>
      <c r="B26" s="3" t="s">
        <v>52</v>
      </c>
      <c r="C26" s="3" t="s">
        <v>65</v>
      </c>
      <c r="D26" s="8" t="s">
        <v>21</v>
      </c>
      <c r="E26" s="5" t="s">
        <v>13</v>
      </c>
      <c r="F26" s="2">
        <v>20</v>
      </c>
      <c r="G26" s="6" t="s">
        <v>66</v>
      </c>
      <c r="H26" s="7" t="s">
        <v>15</v>
      </c>
      <c r="I26" s="3"/>
      <c r="J26" s="7"/>
    </row>
    <row r="27" spans="1:10" ht="27" x14ac:dyDescent="0.45">
      <c r="A27" s="2">
        <v>26</v>
      </c>
      <c r="B27" s="3" t="s">
        <v>52</v>
      </c>
      <c r="C27" s="3" t="s">
        <v>67</v>
      </c>
      <c r="D27" s="9" t="s">
        <v>68</v>
      </c>
      <c r="E27" s="5" t="s">
        <v>13</v>
      </c>
      <c r="F27" s="2">
        <v>30</v>
      </c>
      <c r="G27" s="6" t="s">
        <v>69</v>
      </c>
      <c r="H27" s="7" t="s">
        <v>15</v>
      </c>
      <c r="I27" s="3"/>
      <c r="J27" s="7"/>
    </row>
    <row r="28" spans="1:10" x14ac:dyDescent="0.45">
      <c r="A28" s="2">
        <v>27</v>
      </c>
      <c r="B28" s="3" t="s">
        <v>70</v>
      </c>
      <c r="C28" s="3" t="s">
        <v>71</v>
      </c>
      <c r="D28" s="4" t="s">
        <v>12</v>
      </c>
      <c r="E28" s="5" t="s">
        <v>13</v>
      </c>
      <c r="F28" s="2">
        <v>10</v>
      </c>
      <c r="G28" s="6" t="s">
        <v>72</v>
      </c>
      <c r="H28" s="7" t="s">
        <v>15</v>
      </c>
      <c r="I28" s="3"/>
      <c r="J28" s="7"/>
    </row>
    <row r="29" spans="1:10" ht="27" x14ac:dyDescent="0.45">
      <c r="A29" s="2">
        <v>28</v>
      </c>
      <c r="B29" s="3" t="s">
        <v>70</v>
      </c>
      <c r="C29" s="3" t="s">
        <v>73</v>
      </c>
      <c r="D29" s="8" t="s">
        <v>21</v>
      </c>
      <c r="E29" s="5" t="s">
        <v>13</v>
      </c>
      <c r="F29" s="2">
        <v>20</v>
      </c>
      <c r="G29" s="6" t="s">
        <v>74</v>
      </c>
      <c r="H29" s="7" t="s">
        <v>15</v>
      </c>
      <c r="I29" s="3"/>
      <c r="J29" s="7"/>
    </row>
    <row r="30" spans="1:10" x14ac:dyDescent="0.45">
      <c r="A30" s="2">
        <v>29</v>
      </c>
      <c r="B30" s="3" t="s">
        <v>70</v>
      </c>
      <c r="C30" s="3" t="s">
        <v>75</v>
      </c>
      <c r="D30" s="8" t="s">
        <v>21</v>
      </c>
      <c r="E30" s="5" t="s">
        <v>13</v>
      </c>
      <c r="F30" s="2">
        <v>20</v>
      </c>
      <c r="G30" s="6" t="s">
        <v>76</v>
      </c>
      <c r="H30" s="7" t="s">
        <v>15</v>
      </c>
      <c r="I30" s="3"/>
      <c r="J30" s="7"/>
    </row>
    <row r="31" spans="1:10" x14ac:dyDescent="0.45">
      <c r="A31" s="2">
        <v>30</v>
      </c>
      <c r="B31" s="3" t="s">
        <v>70</v>
      </c>
      <c r="C31" s="3" t="s">
        <v>77</v>
      </c>
      <c r="D31" s="8" t="s">
        <v>21</v>
      </c>
      <c r="E31" s="5" t="s">
        <v>13</v>
      </c>
      <c r="F31" s="2">
        <v>20</v>
      </c>
      <c r="G31" s="6" t="s">
        <v>78</v>
      </c>
      <c r="H31" s="7" t="s">
        <v>15</v>
      </c>
      <c r="I31" s="3"/>
      <c r="J31" s="7"/>
    </row>
    <row r="32" spans="1:10" x14ac:dyDescent="0.45">
      <c r="A32" s="2">
        <v>31</v>
      </c>
      <c r="B32" s="3" t="s">
        <v>70</v>
      </c>
      <c r="C32" s="3" t="s">
        <v>79</v>
      </c>
      <c r="D32" s="8" t="s">
        <v>21</v>
      </c>
      <c r="E32" s="5" t="s">
        <v>13</v>
      </c>
      <c r="F32" s="2">
        <v>25</v>
      </c>
      <c r="G32" s="6" t="s">
        <v>80</v>
      </c>
      <c r="H32" s="7" t="s">
        <v>15</v>
      </c>
      <c r="I32" s="3"/>
      <c r="J32" s="7"/>
    </row>
    <row r="33" spans="1:10" x14ac:dyDescent="0.45">
      <c r="A33" s="2">
        <v>32</v>
      </c>
      <c r="B33" s="3" t="s">
        <v>70</v>
      </c>
      <c r="C33" s="3" t="s">
        <v>81</v>
      </c>
      <c r="D33" s="4" t="s">
        <v>12</v>
      </c>
      <c r="E33" s="5" t="s">
        <v>13</v>
      </c>
      <c r="F33" s="2">
        <v>15</v>
      </c>
      <c r="G33" s="6" t="s">
        <v>82</v>
      </c>
      <c r="H33" s="7" t="s">
        <v>15</v>
      </c>
      <c r="I33" s="3"/>
      <c r="J33" s="7"/>
    </row>
    <row r="34" spans="1:10" ht="27" x14ac:dyDescent="0.45">
      <c r="A34" s="2">
        <v>33</v>
      </c>
      <c r="B34" s="3" t="s">
        <v>70</v>
      </c>
      <c r="C34" s="3" t="s">
        <v>83</v>
      </c>
      <c r="D34" s="4" t="s">
        <v>12</v>
      </c>
      <c r="E34" s="5" t="s">
        <v>13</v>
      </c>
      <c r="F34" s="2">
        <v>15</v>
      </c>
      <c r="G34" s="6" t="s">
        <v>84</v>
      </c>
      <c r="H34" s="7" t="s">
        <v>15</v>
      </c>
      <c r="I34" s="3"/>
      <c r="J34" s="7"/>
    </row>
    <row r="35" spans="1:10" x14ac:dyDescent="0.45">
      <c r="A35" s="2">
        <v>34</v>
      </c>
      <c r="B35" s="3" t="s">
        <v>70</v>
      </c>
      <c r="C35" s="3" t="s">
        <v>85</v>
      </c>
      <c r="D35" s="4" t="s">
        <v>12</v>
      </c>
      <c r="E35" s="5" t="s">
        <v>13</v>
      </c>
      <c r="F35" s="2">
        <v>10</v>
      </c>
      <c r="G35" s="6" t="s">
        <v>86</v>
      </c>
      <c r="H35" s="7" t="s">
        <v>15</v>
      </c>
      <c r="I35" s="3"/>
      <c r="J35" s="7"/>
    </row>
    <row r="36" spans="1:10" x14ac:dyDescent="0.45">
      <c r="A36" s="2">
        <v>35</v>
      </c>
      <c r="B36" s="3" t="s">
        <v>87</v>
      </c>
      <c r="C36" s="3" t="s">
        <v>88</v>
      </c>
      <c r="D36" s="4" t="s">
        <v>12</v>
      </c>
      <c r="E36" s="5" t="s">
        <v>13</v>
      </c>
      <c r="F36" s="2">
        <v>15</v>
      </c>
      <c r="G36" s="6" t="s">
        <v>89</v>
      </c>
      <c r="H36" s="7" t="s">
        <v>15</v>
      </c>
      <c r="I36" s="3"/>
      <c r="J36" s="7"/>
    </row>
    <row r="37" spans="1:10" x14ac:dyDescent="0.45">
      <c r="A37" s="2">
        <v>36</v>
      </c>
      <c r="B37" s="3" t="s">
        <v>87</v>
      </c>
      <c r="C37" s="3" t="s">
        <v>90</v>
      </c>
      <c r="D37" s="4" t="s">
        <v>12</v>
      </c>
      <c r="E37" s="5" t="s">
        <v>13</v>
      </c>
      <c r="F37" s="2">
        <v>15</v>
      </c>
      <c r="G37" s="6" t="s">
        <v>91</v>
      </c>
      <c r="H37" s="7" t="s">
        <v>15</v>
      </c>
      <c r="I37" s="3"/>
      <c r="J37" s="7"/>
    </row>
    <row r="38" spans="1:10" ht="27" x14ac:dyDescent="0.45">
      <c r="A38" s="2">
        <v>37</v>
      </c>
      <c r="B38" s="3" t="s">
        <v>87</v>
      </c>
      <c r="C38" s="3" t="s">
        <v>92</v>
      </c>
      <c r="D38" s="4" t="s">
        <v>12</v>
      </c>
      <c r="E38" s="5" t="s">
        <v>13</v>
      </c>
      <c r="F38" s="2">
        <v>15</v>
      </c>
      <c r="G38" s="6" t="s">
        <v>93</v>
      </c>
      <c r="H38" s="7" t="s">
        <v>15</v>
      </c>
      <c r="I38" s="3"/>
      <c r="J38" s="7"/>
    </row>
    <row r="39" spans="1:10" x14ac:dyDescent="0.45">
      <c r="A39" s="2">
        <v>38</v>
      </c>
      <c r="B39" s="3" t="s">
        <v>87</v>
      </c>
      <c r="C39" s="3" t="s">
        <v>94</v>
      </c>
      <c r="D39" s="8" t="s">
        <v>21</v>
      </c>
      <c r="E39" s="5" t="s">
        <v>13</v>
      </c>
      <c r="F39" s="2">
        <v>20</v>
      </c>
      <c r="G39" s="6" t="s">
        <v>95</v>
      </c>
      <c r="H39" s="7" t="s">
        <v>15</v>
      </c>
      <c r="I39" s="3"/>
      <c r="J39" s="7"/>
    </row>
    <row r="40" spans="1:10" x14ac:dyDescent="0.45">
      <c r="A40" s="2">
        <v>39</v>
      </c>
      <c r="B40" s="3" t="s">
        <v>87</v>
      </c>
      <c r="C40" s="3" t="s">
        <v>96</v>
      </c>
      <c r="D40" s="8" t="s">
        <v>21</v>
      </c>
      <c r="E40" s="5" t="s">
        <v>13</v>
      </c>
      <c r="F40" s="2">
        <v>20</v>
      </c>
      <c r="G40" s="6" t="s">
        <v>97</v>
      </c>
      <c r="H40" s="7" t="s">
        <v>15</v>
      </c>
      <c r="I40" s="3"/>
      <c r="J40" s="7"/>
    </row>
    <row r="41" spans="1:10" x14ac:dyDescent="0.45">
      <c r="A41" s="2">
        <v>40</v>
      </c>
      <c r="B41" s="3" t="s">
        <v>87</v>
      </c>
      <c r="C41" s="3" t="s">
        <v>98</v>
      </c>
      <c r="D41" s="4" t="s">
        <v>12</v>
      </c>
      <c r="E41" s="5" t="s">
        <v>13</v>
      </c>
      <c r="F41" s="2">
        <v>15</v>
      </c>
      <c r="G41" s="6" t="s">
        <v>99</v>
      </c>
      <c r="H41" s="7" t="s">
        <v>15</v>
      </c>
      <c r="I41" s="3"/>
      <c r="J41" s="7"/>
    </row>
    <row r="42" spans="1:10" x14ac:dyDescent="0.45">
      <c r="A42" s="2">
        <v>41</v>
      </c>
      <c r="B42" s="3" t="s">
        <v>87</v>
      </c>
      <c r="C42" s="3" t="s">
        <v>100</v>
      </c>
      <c r="D42" s="8" t="s">
        <v>21</v>
      </c>
      <c r="E42" s="5" t="s">
        <v>13</v>
      </c>
      <c r="F42" s="2">
        <v>20</v>
      </c>
      <c r="G42" s="6" t="s">
        <v>101</v>
      </c>
      <c r="H42" s="7" t="s">
        <v>15</v>
      </c>
      <c r="I42" s="3"/>
      <c r="J42" s="7"/>
    </row>
    <row r="43" spans="1:10" ht="27" x14ac:dyDescent="0.45">
      <c r="A43" s="2">
        <v>42</v>
      </c>
      <c r="B43" s="3" t="s">
        <v>87</v>
      </c>
      <c r="C43" s="3" t="s">
        <v>102</v>
      </c>
      <c r="D43" s="8" t="s">
        <v>21</v>
      </c>
      <c r="E43" s="5" t="s">
        <v>13</v>
      </c>
      <c r="F43" s="2">
        <v>20</v>
      </c>
      <c r="G43" s="6" t="s">
        <v>103</v>
      </c>
      <c r="H43" s="7" t="s">
        <v>15</v>
      </c>
      <c r="I43" s="3"/>
      <c r="J43" s="7"/>
    </row>
    <row r="44" spans="1:10" x14ac:dyDescent="0.45">
      <c r="A44" s="2">
        <v>43</v>
      </c>
      <c r="B44" s="3" t="s">
        <v>104</v>
      </c>
      <c r="C44" s="3" t="s">
        <v>105</v>
      </c>
      <c r="D44" s="4" t="s">
        <v>12</v>
      </c>
      <c r="E44" s="5" t="s">
        <v>13</v>
      </c>
      <c r="F44" s="2">
        <v>15</v>
      </c>
      <c r="G44" s="6" t="s">
        <v>106</v>
      </c>
      <c r="H44" s="7" t="s">
        <v>15</v>
      </c>
      <c r="I44" s="3"/>
      <c r="J44" s="7"/>
    </row>
    <row r="45" spans="1:10" ht="27" x14ac:dyDescent="0.45">
      <c r="A45" s="2">
        <v>44</v>
      </c>
      <c r="B45" s="3" t="s">
        <v>104</v>
      </c>
      <c r="C45" s="3" t="s">
        <v>107</v>
      </c>
      <c r="D45" s="4" t="s">
        <v>12</v>
      </c>
      <c r="E45" s="5" t="s">
        <v>13</v>
      </c>
      <c r="F45" s="2">
        <v>15</v>
      </c>
      <c r="G45" s="6" t="s">
        <v>108</v>
      </c>
      <c r="H45" s="7" t="s">
        <v>15</v>
      </c>
      <c r="I45" s="3"/>
      <c r="J45" s="7"/>
    </row>
    <row r="46" spans="1:10" x14ac:dyDescent="0.45">
      <c r="A46" s="2">
        <v>45</v>
      </c>
      <c r="B46" s="3" t="s">
        <v>104</v>
      </c>
      <c r="C46" s="3" t="s">
        <v>109</v>
      </c>
      <c r="D46" s="4" t="s">
        <v>12</v>
      </c>
      <c r="E46" s="5" t="s">
        <v>13</v>
      </c>
      <c r="F46" s="2">
        <v>15</v>
      </c>
      <c r="G46" s="6" t="s">
        <v>110</v>
      </c>
      <c r="H46" s="7" t="s">
        <v>15</v>
      </c>
      <c r="I46" s="3"/>
      <c r="J46" s="7"/>
    </row>
    <row r="47" spans="1:10" x14ac:dyDescent="0.45">
      <c r="A47" s="2">
        <v>46</v>
      </c>
      <c r="B47" s="3" t="s">
        <v>104</v>
      </c>
      <c r="C47" s="3" t="s">
        <v>111</v>
      </c>
      <c r="D47" s="4" t="s">
        <v>12</v>
      </c>
      <c r="E47" s="5" t="s">
        <v>13</v>
      </c>
      <c r="F47" s="2">
        <v>10</v>
      </c>
      <c r="G47" s="6" t="s">
        <v>112</v>
      </c>
      <c r="H47" s="7" t="s">
        <v>15</v>
      </c>
      <c r="I47" s="3"/>
      <c r="J47" s="7"/>
    </row>
    <row r="48" spans="1:10" x14ac:dyDescent="0.45">
      <c r="A48" s="2">
        <v>47</v>
      </c>
      <c r="B48" s="3" t="s">
        <v>104</v>
      </c>
      <c r="C48" s="3" t="s">
        <v>113</v>
      </c>
      <c r="D48" s="4" t="s">
        <v>12</v>
      </c>
      <c r="E48" s="5" t="s">
        <v>13</v>
      </c>
      <c r="F48" s="2">
        <v>15</v>
      </c>
      <c r="G48" s="6" t="s">
        <v>114</v>
      </c>
      <c r="H48" s="7" t="s">
        <v>15</v>
      </c>
      <c r="I48" s="3"/>
      <c r="J48" s="7"/>
    </row>
    <row r="49" spans="1:10" x14ac:dyDescent="0.45">
      <c r="A49" s="2">
        <v>48</v>
      </c>
      <c r="B49" s="3" t="s">
        <v>104</v>
      </c>
      <c r="C49" s="3" t="s">
        <v>115</v>
      </c>
      <c r="D49" s="4" t="s">
        <v>12</v>
      </c>
      <c r="E49" s="5" t="s">
        <v>13</v>
      </c>
      <c r="F49" s="2">
        <v>20</v>
      </c>
      <c r="G49" s="6" t="s">
        <v>116</v>
      </c>
      <c r="H49" s="7" t="s">
        <v>15</v>
      </c>
      <c r="I49" s="3"/>
      <c r="J49" s="7"/>
    </row>
    <row r="50" spans="1:10" x14ac:dyDescent="0.45">
      <c r="A50" s="2">
        <v>49</v>
      </c>
      <c r="B50" s="3" t="s">
        <v>104</v>
      </c>
      <c r="C50" s="3" t="s">
        <v>117</v>
      </c>
      <c r="D50" s="8" t="s">
        <v>21</v>
      </c>
      <c r="E50" s="5" t="s">
        <v>13</v>
      </c>
      <c r="F50" s="2">
        <v>20</v>
      </c>
      <c r="G50" s="6" t="s">
        <v>118</v>
      </c>
      <c r="H50" s="7" t="s">
        <v>15</v>
      </c>
      <c r="I50" s="3"/>
      <c r="J50" s="7"/>
    </row>
    <row r="51" spans="1:10" x14ac:dyDescent="0.45">
      <c r="A51" s="2">
        <v>50</v>
      </c>
      <c r="B51" s="3" t="s">
        <v>104</v>
      </c>
      <c r="C51" s="3" t="s">
        <v>119</v>
      </c>
      <c r="D51" s="8" t="s">
        <v>21</v>
      </c>
      <c r="E51" s="5" t="s">
        <v>13</v>
      </c>
      <c r="F51" s="2">
        <v>25</v>
      </c>
      <c r="G51" s="6" t="s">
        <v>120</v>
      </c>
      <c r="H51" s="7" t="s">
        <v>15</v>
      </c>
      <c r="I51" s="3"/>
      <c r="J51" s="7"/>
    </row>
    <row r="52" spans="1:10" ht="27" x14ac:dyDescent="0.45">
      <c r="A52" s="2">
        <v>51</v>
      </c>
      <c r="B52" s="3" t="s">
        <v>104</v>
      </c>
      <c r="C52" s="3" t="s">
        <v>121</v>
      </c>
      <c r="D52" s="8" t="s">
        <v>21</v>
      </c>
      <c r="E52" s="5" t="s">
        <v>13</v>
      </c>
      <c r="F52" s="2">
        <v>25</v>
      </c>
      <c r="G52" s="6" t="s">
        <v>122</v>
      </c>
      <c r="H52" s="7" t="s">
        <v>15</v>
      </c>
      <c r="I52" s="3"/>
      <c r="J52" s="7"/>
    </row>
    <row r="53" spans="1:10" x14ac:dyDescent="0.45">
      <c r="A53" s="2">
        <v>52</v>
      </c>
      <c r="B53" s="3" t="s">
        <v>104</v>
      </c>
      <c r="C53" s="3" t="s">
        <v>123</v>
      </c>
      <c r="D53" s="8" t="s">
        <v>21</v>
      </c>
      <c r="E53" s="5" t="s">
        <v>13</v>
      </c>
      <c r="F53" s="2">
        <v>25</v>
      </c>
      <c r="G53" s="6" t="s">
        <v>124</v>
      </c>
      <c r="H53" s="7" t="s">
        <v>15</v>
      </c>
      <c r="I53" s="3"/>
      <c r="J53" s="7"/>
    </row>
    <row r="54" spans="1:10" x14ac:dyDescent="0.45">
      <c r="A54" s="2">
        <v>53</v>
      </c>
      <c r="B54" s="3" t="s">
        <v>125</v>
      </c>
      <c r="C54" s="3" t="s">
        <v>126</v>
      </c>
      <c r="D54" s="8" t="s">
        <v>21</v>
      </c>
      <c r="E54" s="5" t="s">
        <v>13</v>
      </c>
      <c r="F54" s="2">
        <v>20</v>
      </c>
      <c r="G54" s="6" t="s">
        <v>127</v>
      </c>
      <c r="H54" s="7" t="s">
        <v>15</v>
      </c>
      <c r="I54" s="3"/>
      <c r="J54" s="7"/>
    </row>
    <row r="55" spans="1:10" x14ac:dyDescent="0.45">
      <c r="A55" s="2">
        <v>54</v>
      </c>
      <c r="B55" s="3" t="s">
        <v>125</v>
      </c>
      <c r="C55" s="3" t="s">
        <v>128</v>
      </c>
      <c r="D55" s="4" t="s">
        <v>12</v>
      </c>
      <c r="E55" s="5" t="s">
        <v>13</v>
      </c>
      <c r="F55" s="2">
        <v>15</v>
      </c>
      <c r="G55" s="6" t="s">
        <v>129</v>
      </c>
      <c r="H55" s="7" t="s">
        <v>15</v>
      </c>
      <c r="I55" s="3"/>
      <c r="J55" s="7"/>
    </row>
    <row r="56" spans="1:10" x14ac:dyDescent="0.45">
      <c r="A56" s="2">
        <v>55</v>
      </c>
      <c r="B56" s="3" t="s">
        <v>125</v>
      </c>
      <c r="C56" s="3" t="s">
        <v>130</v>
      </c>
      <c r="D56" s="4" t="s">
        <v>12</v>
      </c>
      <c r="E56" s="5" t="s">
        <v>13</v>
      </c>
      <c r="F56" s="2">
        <v>15</v>
      </c>
      <c r="G56" s="6" t="s">
        <v>131</v>
      </c>
      <c r="H56" s="7" t="s">
        <v>15</v>
      </c>
      <c r="I56" s="3"/>
      <c r="J56" s="7"/>
    </row>
    <row r="57" spans="1:10" x14ac:dyDescent="0.45">
      <c r="A57" s="2">
        <v>56</v>
      </c>
      <c r="B57" s="3" t="s">
        <v>125</v>
      </c>
      <c r="C57" s="3" t="s">
        <v>132</v>
      </c>
      <c r="D57" s="8" t="s">
        <v>21</v>
      </c>
      <c r="E57" s="5" t="s">
        <v>13</v>
      </c>
      <c r="F57" s="2">
        <v>20</v>
      </c>
      <c r="G57" s="6" t="s">
        <v>133</v>
      </c>
      <c r="H57" s="7" t="s">
        <v>15</v>
      </c>
      <c r="I57" s="3"/>
      <c r="J57" s="7"/>
    </row>
    <row r="58" spans="1:10" x14ac:dyDescent="0.45">
      <c r="A58" s="2">
        <v>57</v>
      </c>
      <c r="B58" s="3" t="s">
        <v>125</v>
      </c>
      <c r="C58" s="3" t="s">
        <v>134</v>
      </c>
      <c r="D58" s="8" t="s">
        <v>21</v>
      </c>
      <c r="E58" s="5" t="s">
        <v>13</v>
      </c>
      <c r="F58" s="2">
        <v>20</v>
      </c>
      <c r="G58" s="6" t="s">
        <v>135</v>
      </c>
      <c r="H58" s="7" t="s">
        <v>15</v>
      </c>
      <c r="I58" s="3"/>
      <c r="J58" s="7"/>
    </row>
    <row r="59" spans="1:10" x14ac:dyDescent="0.45">
      <c r="A59" s="2">
        <v>58</v>
      </c>
      <c r="B59" s="3" t="s">
        <v>125</v>
      </c>
      <c r="C59" s="3" t="s">
        <v>136</v>
      </c>
      <c r="D59" s="4" t="s">
        <v>12</v>
      </c>
      <c r="E59" s="5" t="s">
        <v>13</v>
      </c>
      <c r="F59" s="2">
        <v>15</v>
      </c>
      <c r="G59" s="6" t="s">
        <v>137</v>
      </c>
      <c r="H59" s="7" t="s">
        <v>15</v>
      </c>
      <c r="I59" s="3"/>
      <c r="J59" s="7"/>
    </row>
    <row r="60" spans="1:10" x14ac:dyDescent="0.45">
      <c r="A60" s="2">
        <v>59</v>
      </c>
      <c r="B60" s="3" t="s">
        <v>125</v>
      </c>
      <c r="C60" s="3" t="s">
        <v>138</v>
      </c>
      <c r="D60" s="8" t="s">
        <v>21</v>
      </c>
      <c r="E60" s="5" t="s">
        <v>13</v>
      </c>
      <c r="F60" s="2">
        <v>20</v>
      </c>
      <c r="G60" s="6" t="s">
        <v>139</v>
      </c>
      <c r="H60" s="7" t="s">
        <v>15</v>
      </c>
      <c r="I60" s="3"/>
      <c r="J60" s="7"/>
    </row>
    <row r="61" spans="1:10" x14ac:dyDescent="0.45">
      <c r="A61" s="2">
        <v>60</v>
      </c>
      <c r="B61" s="3" t="s">
        <v>125</v>
      </c>
      <c r="C61" s="3" t="s">
        <v>140</v>
      </c>
      <c r="D61" s="8" t="s">
        <v>21</v>
      </c>
      <c r="E61" s="5" t="s">
        <v>13</v>
      </c>
      <c r="F61" s="2">
        <v>20</v>
      </c>
      <c r="G61" s="6" t="s">
        <v>141</v>
      </c>
      <c r="H61" s="7" t="s">
        <v>15</v>
      </c>
      <c r="I61" s="3"/>
      <c r="J61" s="7"/>
    </row>
    <row r="62" spans="1:10" ht="27" x14ac:dyDescent="0.45">
      <c r="A62" s="2">
        <v>61</v>
      </c>
      <c r="B62" s="3" t="s">
        <v>142</v>
      </c>
      <c r="C62" s="3" t="s">
        <v>142</v>
      </c>
      <c r="D62" s="4" t="s">
        <v>12</v>
      </c>
      <c r="E62" s="5" t="s">
        <v>13</v>
      </c>
      <c r="F62" s="2">
        <v>10</v>
      </c>
      <c r="G62" s="6" t="s">
        <v>143</v>
      </c>
      <c r="H62" s="7" t="s">
        <v>15</v>
      </c>
      <c r="I62" s="3"/>
      <c r="J62" s="7"/>
    </row>
    <row r="63" spans="1:10" x14ac:dyDescent="0.45">
      <c r="A63" s="2">
        <v>62</v>
      </c>
      <c r="B63" s="3" t="s">
        <v>142</v>
      </c>
      <c r="C63" s="3" t="s">
        <v>144</v>
      </c>
      <c r="D63" s="4" t="s">
        <v>12</v>
      </c>
      <c r="E63" s="5" t="s">
        <v>13</v>
      </c>
      <c r="F63" s="2">
        <v>10</v>
      </c>
      <c r="G63" s="6" t="s">
        <v>145</v>
      </c>
      <c r="H63" s="7" t="s">
        <v>15</v>
      </c>
      <c r="I63" s="3"/>
      <c r="J63" s="7"/>
    </row>
    <row r="64" spans="1:10" x14ac:dyDescent="0.45">
      <c r="A64" s="2">
        <v>63</v>
      </c>
      <c r="B64" s="3" t="s">
        <v>142</v>
      </c>
      <c r="C64" s="3" t="s">
        <v>146</v>
      </c>
      <c r="D64" s="4" t="s">
        <v>12</v>
      </c>
      <c r="E64" s="5" t="s">
        <v>13</v>
      </c>
      <c r="F64" s="2">
        <v>15</v>
      </c>
      <c r="G64" s="6" t="s">
        <v>147</v>
      </c>
      <c r="H64" s="7" t="s">
        <v>15</v>
      </c>
      <c r="I64" s="3"/>
      <c r="J64" s="7"/>
    </row>
    <row r="65" spans="1:10" x14ac:dyDescent="0.45">
      <c r="A65" s="2">
        <v>64</v>
      </c>
      <c r="B65" s="3" t="s">
        <v>142</v>
      </c>
      <c r="C65" s="3" t="s">
        <v>148</v>
      </c>
      <c r="D65" s="8" t="s">
        <v>21</v>
      </c>
      <c r="E65" s="5" t="s">
        <v>13</v>
      </c>
      <c r="F65" s="2">
        <v>20</v>
      </c>
      <c r="G65" s="6" t="s">
        <v>149</v>
      </c>
      <c r="H65" s="7" t="s">
        <v>15</v>
      </c>
      <c r="I65" s="3"/>
      <c r="J65" s="7"/>
    </row>
    <row r="66" spans="1:10" x14ac:dyDescent="0.45">
      <c r="A66" s="2">
        <v>65</v>
      </c>
      <c r="B66" s="3" t="s">
        <v>142</v>
      </c>
      <c r="C66" s="3" t="s">
        <v>150</v>
      </c>
      <c r="D66" s="8" t="s">
        <v>21</v>
      </c>
      <c r="E66" s="5" t="s">
        <v>13</v>
      </c>
      <c r="F66" s="2">
        <v>25</v>
      </c>
      <c r="G66" s="6" t="s">
        <v>151</v>
      </c>
      <c r="H66" s="7" t="s">
        <v>15</v>
      </c>
      <c r="I66" s="3"/>
      <c r="J66" s="7"/>
    </row>
    <row r="67" spans="1:10" x14ac:dyDescent="0.45">
      <c r="A67" s="2">
        <v>66</v>
      </c>
      <c r="B67" s="3" t="s">
        <v>142</v>
      </c>
      <c r="C67" s="3" t="s">
        <v>152</v>
      </c>
      <c r="D67" s="8" t="s">
        <v>21</v>
      </c>
      <c r="E67" s="5" t="s">
        <v>13</v>
      </c>
      <c r="F67" s="2">
        <v>20</v>
      </c>
      <c r="G67" s="6" t="s">
        <v>153</v>
      </c>
      <c r="H67" s="7" t="s">
        <v>15</v>
      </c>
      <c r="I67" s="3"/>
      <c r="J67" s="7"/>
    </row>
    <row r="68" spans="1:10" ht="27" x14ac:dyDescent="0.45">
      <c r="A68" s="2">
        <v>67</v>
      </c>
      <c r="B68" s="3" t="s">
        <v>142</v>
      </c>
      <c r="C68" s="3" t="s">
        <v>154</v>
      </c>
      <c r="D68" s="8" t="s">
        <v>21</v>
      </c>
      <c r="E68" s="5" t="s">
        <v>13</v>
      </c>
      <c r="F68" s="2">
        <v>20</v>
      </c>
      <c r="G68" s="6" t="s">
        <v>155</v>
      </c>
      <c r="H68" s="7" t="s">
        <v>15</v>
      </c>
      <c r="I68" s="3"/>
      <c r="J68" s="7"/>
    </row>
    <row r="69" spans="1:10" ht="27" x14ac:dyDescent="0.45">
      <c r="A69" s="2">
        <v>68</v>
      </c>
      <c r="B69" s="3" t="s">
        <v>142</v>
      </c>
      <c r="C69" s="3" t="s">
        <v>156</v>
      </c>
      <c r="D69" s="8" t="s">
        <v>21</v>
      </c>
      <c r="E69" s="5" t="s">
        <v>13</v>
      </c>
      <c r="F69" s="2">
        <v>25</v>
      </c>
      <c r="G69" s="6" t="s">
        <v>157</v>
      </c>
      <c r="H69" s="7" t="s">
        <v>15</v>
      </c>
      <c r="I69" s="3"/>
      <c r="J69" s="7"/>
    </row>
    <row r="70" spans="1:10" x14ac:dyDescent="0.45">
      <c r="A70" s="2">
        <v>69</v>
      </c>
      <c r="B70" s="3" t="s">
        <v>158</v>
      </c>
      <c r="C70" s="3" t="s">
        <v>159</v>
      </c>
      <c r="D70" s="4" t="s">
        <v>12</v>
      </c>
      <c r="E70" s="5" t="s">
        <v>13</v>
      </c>
      <c r="F70" s="2">
        <v>10</v>
      </c>
      <c r="G70" s="6" t="s">
        <v>160</v>
      </c>
      <c r="H70" s="7" t="s">
        <v>15</v>
      </c>
      <c r="I70" s="3"/>
      <c r="J70" s="7"/>
    </row>
    <row r="71" spans="1:10" x14ac:dyDescent="0.45">
      <c r="A71" s="2">
        <v>70</v>
      </c>
      <c r="B71" s="3" t="s">
        <v>158</v>
      </c>
      <c r="C71" s="3" t="s">
        <v>161</v>
      </c>
      <c r="D71" s="4" t="s">
        <v>12</v>
      </c>
      <c r="E71" s="5" t="s">
        <v>13</v>
      </c>
      <c r="F71" s="2">
        <v>10</v>
      </c>
      <c r="G71" s="6" t="s">
        <v>162</v>
      </c>
      <c r="H71" s="7" t="s">
        <v>15</v>
      </c>
      <c r="I71" s="3"/>
      <c r="J71" s="7"/>
    </row>
    <row r="72" spans="1:10" x14ac:dyDescent="0.45">
      <c r="A72" s="2">
        <v>71</v>
      </c>
      <c r="B72" s="3" t="s">
        <v>158</v>
      </c>
      <c r="C72" s="3" t="s">
        <v>163</v>
      </c>
      <c r="D72" s="4" t="s">
        <v>12</v>
      </c>
      <c r="E72" s="5" t="s">
        <v>13</v>
      </c>
      <c r="F72" s="2">
        <v>10</v>
      </c>
      <c r="G72" s="6" t="s">
        <v>164</v>
      </c>
      <c r="H72" s="7" t="s">
        <v>15</v>
      </c>
      <c r="I72" s="3"/>
      <c r="J72" s="7"/>
    </row>
    <row r="73" spans="1:10" x14ac:dyDescent="0.45">
      <c r="A73" s="2">
        <v>72</v>
      </c>
      <c r="B73" s="3" t="s">
        <v>158</v>
      </c>
      <c r="C73" s="3" t="s">
        <v>165</v>
      </c>
      <c r="D73" s="4" t="s">
        <v>12</v>
      </c>
      <c r="E73" s="5" t="s">
        <v>13</v>
      </c>
      <c r="F73" s="2">
        <v>15</v>
      </c>
      <c r="G73" s="6" t="s">
        <v>166</v>
      </c>
      <c r="H73" s="7" t="s">
        <v>15</v>
      </c>
      <c r="I73" s="3"/>
      <c r="J73" s="7"/>
    </row>
    <row r="74" spans="1:10" x14ac:dyDescent="0.45">
      <c r="A74" s="2">
        <v>73</v>
      </c>
      <c r="B74" s="3" t="s">
        <v>158</v>
      </c>
      <c r="C74" s="3" t="s">
        <v>167</v>
      </c>
      <c r="D74" s="8" t="s">
        <v>21</v>
      </c>
      <c r="E74" s="5" t="s">
        <v>13</v>
      </c>
      <c r="F74" s="2">
        <v>20</v>
      </c>
      <c r="G74" s="6" t="s">
        <v>168</v>
      </c>
      <c r="H74" s="7" t="s">
        <v>15</v>
      </c>
      <c r="I74" s="3"/>
      <c r="J74" s="7"/>
    </row>
    <row r="75" spans="1:10" x14ac:dyDescent="0.45">
      <c r="A75" s="2">
        <v>74</v>
      </c>
      <c r="B75" s="3" t="s">
        <v>158</v>
      </c>
      <c r="C75" s="3" t="s">
        <v>169</v>
      </c>
      <c r="D75" s="4" t="s">
        <v>12</v>
      </c>
      <c r="E75" s="5" t="s">
        <v>13</v>
      </c>
      <c r="F75" s="2">
        <v>15</v>
      </c>
      <c r="G75" s="6" t="s">
        <v>170</v>
      </c>
      <c r="H75" s="7" t="s">
        <v>15</v>
      </c>
      <c r="I75" s="3"/>
      <c r="J75" s="7"/>
    </row>
    <row r="76" spans="1:10" x14ac:dyDescent="0.45">
      <c r="A76" s="2">
        <v>75</v>
      </c>
      <c r="B76" s="3" t="s">
        <v>158</v>
      </c>
      <c r="C76" s="3" t="s">
        <v>171</v>
      </c>
      <c r="D76" s="4" t="s">
        <v>12</v>
      </c>
      <c r="E76" s="5" t="s">
        <v>13</v>
      </c>
      <c r="F76" s="2">
        <v>20</v>
      </c>
      <c r="G76" s="6" t="s">
        <v>172</v>
      </c>
      <c r="H76" s="7" t="s">
        <v>15</v>
      </c>
      <c r="I76" s="3"/>
      <c r="J76" s="7"/>
    </row>
    <row r="77" spans="1:10" x14ac:dyDescent="0.45">
      <c r="A77" s="2">
        <v>76</v>
      </c>
      <c r="B77" s="3" t="s">
        <v>158</v>
      </c>
      <c r="C77" s="3" t="s">
        <v>173</v>
      </c>
      <c r="D77" s="4" t="s">
        <v>12</v>
      </c>
      <c r="E77" s="5" t="s">
        <v>13</v>
      </c>
      <c r="F77" s="2">
        <v>15</v>
      </c>
      <c r="G77" s="6" t="s">
        <v>174</v>
      </c>
      <c r="H77" s="7" t="s">
        <v>15</v>
      </c>
      <c r="I77" s="3"/>
      <c r="J77" s="7"/>
    </row>
    <row r="78" spans="1:10" x14ac:dyDescent="0.45">
      <c r="A78" s="2">
        <v>77</v>
      </c>
      <c r="B78" s="3" t="s">
        <v>158</v>
      </c>
      <c r="C78" s="3" t="s">
        <v>175</v>
      </c>
      <c r="D78" s="8" t="s">
        <v>21</v>
      </c>
      <c r="E78" s="5" t="s">
        <v>13</v>
      </c>
      <c r="F78" s="2">
        <v>15</v>
      </c>
      <c r="G78" s="6" t="s">
        <v>176</v>
      </c>
      <c r="H78" s="7" t="s">
        <v>15</v>
      </c>
      <c r="I78" s="3"/>
      <c r="J78" s="7"/>
    </row>
    <row r="79" spans="1:10" ht="27" x14ac:dyDescent="0.45">
      <c r="A79" s="2">
        <v>78</v>
      </c>
      <c r="B79" s="3" t="s">
        <v>158</v>
      </c>
      <c r="C79" s="3" t="s">
        <v>177</v>
      </c>
      <c r="D79" s="8" t="s">
        <v>21</v>
      </c>
      <c r="E79" s="5" t="s">
        <v>13</v>
      </c>
      <c r="F79" s="2">
        <v>20</v>
      </c>
      <c r="G79" s="6" t="s">
        <v>178</v>
      </c>
      <c r="H79" s="7" t="s">
        <v>15</v>
      </c>
      <c r="I79" s="3"/>
      <c r="J79" s="7"/>
    </row>
    <row r="80" spans="1:10" x14ac:dyDescent="0.45">
      <c r="A80" s="2">
        <v>79</v>
      </c>
      <c r="B80" s="3" t="s">
        <v>158</v>
      </c>
      <c r="C80" s="3" t="s">
        <v>179</v>
      </c>
      <c r="D80" s="8" t="s">
        <v>21</v>
      </c>
      <c r="E80" s="5" t="s">
        <v>13</v>
      </c>
      <c r="F80" s="2">
        <v>20</v>
      </c>
      <c r="G80" s="6" t="s">
        <v>180</v>
      </c>
      <c r="H80" s="7" t="s">
        <v>15</v>
      </c>
      <c r="I80" s="3"/>
      <c r="J80" s="7"/>
    </row>
    <row r="81" spans="1:10" x14ac:dyDescent="0.45">
      <c r="A81" s="2">
        <v>80</v>
      </c>
      <c r="B81" s="3" t="s">
        <v>158</v>
      </c>
      <c r="C81" s="3" t="s">
        <v>181</v>
      </c>
      <c r="D81" s="8" t="s">
        <v>21</v>
      </c>
      <c r="E81" s="5" t="s">
        <v>13</v>
      </c>
      <c r="F81" s="2">
        <v>20</v>
      </c>
      <c r="G81" s="6" t="s">
        <v>182</v>
      </c>
      <c r="H81" s="7" t="s">
        <v>15</v>
      </c>
      <c r="I81" s="3"/>
      <c r="J81" s="7"/>
    </row>
    <row r="82" spans="1:10" x14ac:dyDescent="0.45">
      <c r="A82" s="2">
        <v>81</v>
      </c>
      <c r="B82" s="3" t="s">
        <v>183</v>
      </c>
      <c r="C82" s="3" t="s">
        <v>184</v>
      </c>
      <c r="D82" s="8" t="s">
        <v>21</v>
      </c>
      <c r="E82" s="5" t="s">
        <v>13</v>
      </c>
      <c r="F82" s="2">
        <v>25</v>
      </c>
      <c r="G82" s="6" t="s">
        <v>185</v>
      </c>
      <c r="H82" s="7" t="s">
        <v>15</v>
      </c>
      <c r="I82" s="3"/>
      <c r="J82" s="7"/>
    </row>
    <row r="83" spans="1:10" ht="27" x14ac:dyDescent="0.45">
      <c r="A83" s="2">
        <v>82</v>
      </c>
      <c r="B83" s="3" t="s">
        <v>183</v>
      </c>
      <c r="C83" s="3" t="s">
        <v>186</v>
      </c>
      <c r="D83" s="4" t="s">
        <v>12</v>
      </c>
      <c r="E83" s="5" t="s">
        <v>13</v>
      </c>
      <c r="F83" s="2">
        <v>15</v>
      </c>
      <c r="G83" s="6" t="s">
        <v>187</v>
      </c>
      <c r="H83" s="7" t="s">
        <v>15</v>
      </c>
      <c r="I83" s="3"/>
      <c r="J83" s="7"/>
    </row>
    <row r="84" spans="1:10" ht="27" x14ac:dyDescent="0.45">
      <c r="A84" s="2">
        <v>83</v>
      </c>
      <c r="B84" s="3" t="s">
        <v>183</v>
      </c>
      <c r="C84" s="3" t="s">
        <v>188</v>
      </c>
      <c r="D84" s="8" t="s">
        <v>21</v>
      </c>
      <c r="E84" s="5" t="s">
        <v>13</v>
      </c>
      <c r="F84" s="2">
        <v>20</v>
      </c>
      <c r="G84" s="6" t="s">
        <v>189</v>
      </c>
      <c r="H84" s="7" t="s">
        <v>15</v>
      </c>
      <c r="I84" s="3"/>
      <c r="J84" s="7"/>
    </row>
    <row r="85" spans="1:10" x14ac:dyDescent="0.45">
      <c r="A85" s="2">
        <v>84</v>
      </c>
      <c r="B85" s="3" t="s">
        <v>183</v>
      </c>
      <c r="C85" s="3" t="s">
        <v>190</v>
      </c>
      <c r="D85" s="8" t="s">
        <v>21</v>
      </c>
      <c r="E85" s="5" t="s">
        <v>13</v>
      </c>
      <c r="F85" s="2">
        <v>20</v>
      </c>
      <c r="G85" s="6" t="s">
        <v>191</v>
      </c>
      <c r="H85" s="7" t="s">
        <v>15</v>
      </c>
      <c r="I85" s="3"/>
      <c r="J85" s="7"/>
    </row>
    <row r="86" spans="1:10" ht="27" x14ac:dyDescent="0.45">
      <c r="A86" s="2">
        <v>85</v>
      </c>
      <c r="B86" s="3" t="s">
        <v>183</v>
      </c>
      <c r="C86" s="3" t="s">
        <v>192</v>
      </c>
      <c r="D86" s="8" t="s">
        <v>21</v>
      </c>
      <c r="E86" s="5" t="s">
        <v>13</v>
      </c>
      <c r="F86" s="2">
        <v>25</v>
      </c>
      <c r="G86" s="6" t="s">
        <v>193</v>
      </c>
      <c r="H86" s="7" t="s">
        <v>15</v>
      </c>
      <c r="I86" s="3"/>
      <c r="J86" s="7"/>
    </row>
    <row r="87" spans="1:10" x14ac:dyDescent="0.45">
      <c r="A87" s="2">
        <v>86</v>
      </c>
      <c r="B87" s="3" t="s">
        <v>183</v>
      </c>
      <c r="C87" s="3" t="s">
        <v>194</v>
      </c>
      <c r="D87" s="8" t="s">
        <v>21</v>
      </c>
      <c r="E87" s="5" t="s">
        <v>13</v>
      </c>
      <c r="F87" s="2">
        <v>20</v>
      </c>
      <c r="G87" s="6" t="s">
        <v>195</v>
      </c>
      <c r="H87" s="7" t="s">
        <v>15</v>
      </c>
      <c r="I87" s="3"/>
      <c r="J87" s="7"/>
    </row>
    <row r="88" spans="1:10" x14ac:dyDescent="0.45">
      <c r="A88" s="2">
        <v>87</v>
      </c>
      <c r="B88" s="3" t="s">
        <v>183</v>
      </c>
      <c r="C88" s="3" t="s">
        <v>196</v>
      </c>
      <c r="D88" s="8" t="s">
        <v>21</v>
      </c>
      <c r="E88" s="5" t="s">
        <v>13</v>
      </c>
      <c r="F88" s="2">
        <v>25</v>
      </c>
      <c r="G88" s="6" t="s">
        <v>197</v>
      </c>
      <c r="H88" s="7" t="s">
        <v>15</v>
      </c>
      <c r="I88" s="3"/>
      <c r="J88" s="7"/>
    </row>
    <row r="89" spans="1:10" x14ac:dyDescent="0.45">
      <c r="A89" s="2">
        <v>88</v>
      </c>
      <c r="B89" s="3" t="s">
        <v>183</v>
      </c>
      <c r="C89" s="3" t="s">
        <v>198</v>
      </c>
      <c r="D89" s="8" t="s">
        <v>21</v>
      </c>
      <c r="E89" s="5" t="s">
        <v>13</v>
      </c>
      <c r="F89" s="2">
        <v>25</v>
      </c>
      <c r="G89" s="6" t="s">
        <v>199</v>
      </c>
      <c r="H89" s="7" t="s">
        <v>15</v>
      </c>
      <c r="I89" s="3"/>
      <c r="J89" s="7"/>
    </row>
    <row r="90" spans="1:10" x14ac:dyDescent="0.45">
      <c r="A90" s="2">
        <v>89</v>
      </c>
      <c r="B90" s="3" t="s">
        <v>183</v>
      </c>
      <c r="C90" s="3" t="s">
        <v>200</v>
      </c>
      <c r="D90" s="8" t="s">
        <v>21</v>
      </c>
      <c r="E90" s="5" t="s">
        <v>13</v>
      </c>
      <c r="F90" s="2">
        <v>25</v>
      </c>
      <c r="G90" s="6" t="s">
        <v>201</v>
      </c>
      <c r="H90" s="7" t="s">
        <v>15</v>
      </c>
      <c r="I90" s="3"/>
      <c r="J90" s="7"/>
    </row>
    <row r="91" spans="1:10" x14ac:dyDescent="0.45">
      <c r="A91" s="2">
        <v>90</v>
      </c>
      <c r="B91" s="3" t="s">
        <v>183</v>
      </c>
      <c r="C91" s="3" t="s">
        <v>202</v>
      </c>
      <c r="D91" s="8" t="s">
        <v>21</v>
      </c>
      <c r="E91" s="5" t="s">
        <v>13</v>
      </c>
      <c r="F91" s="2">
        <v>20</v>
      </c>
      <c r="G91" s="6" t="s">
        <v>203</v>
      </c>
      <c r="H91" s="7" t="s">
        <v>15</v>
      </c>
      <c r="I91" s="3"/>
      <c r="J91" s="7"/>
    </row>
    <row r="92" spans="1:10" ht="27" x14ac:dyDescent="0.45">
      <c r="A92" s="2">
        <v>91</v>
      </c>
      <c r="B92" s="3" t="s">
        <v>204</v>
      </c>
      <c r="C92" s="3" t="s">
        <v>205</v>
      </c>
      <c r="D92" s="8" t="s">
        <v>21</v>
      </c>
      <c r="E92" s="5" t="s">
        <v>13</v>
      </c>
      <c r="F92" s="2">
        <v>20</v>
      </c>
      <c r="G92" s="6" t="s">
        <v>206</v>
      </c>
      <c r="H92" s="7" t="s">
        <v>15</v>
      </c>
      <c r="I92" s="3"/>
      <c r="J92" s="7"/>
    </row>
    <row r="93" spans="1:10" x14ac:dyDescent="0.45">
      <c r="A93" s="2">
        <v>92</v>
      </c>
      <c r="B93" s="3" t="s">
        <v>204</v>
      </c>
      <c r="C93" s="3" t="s">
        <v>207</v>
      </c>
      <c r="D93" s="8" t="s">
        <v>21</v>
      </c>
      <c r="E93" s="5" t="s">
        <v>13</v>
      </c>
      <c r="F93" s="2">
        <v>20</v>
      </c>
      <c r="G93" s="6" t="s">
        <v>208</v>
      </c>
      <c r="H93" s="7" t="s">
        <v>15</v>
      </c>
      <c r="I93" s="3"/>
      <c r="J93" s="7"/>
    </row>
    <row r="94" spans="1:10" x14ac:dyDescent="0.45">
      <c r="A94" s="2">
        <v>93</v>
      </c>
      <c r="B94" s="3" t="s">
        <v>204</v>
      </c>
      <c r="C94" s="3" t="s">
        <v>209</v>
      </c>
      <c r="D94" s="8" t="s">
        <v>21</v>
      </c>
      <c r="E94" s="5" t="s">
        <v>13</v>
      </c>
      <c r="F94" s="2">
        <v>20</v>
      </c>
      <c r="G94" s="6" t="s">
        <v>210</v>
      </c>
      <c r="H94" s="7" t="s">
        <v>15</v>
      </c>
      <c r="I94" s="3"/>
      <c r="J94" s="7"/>
    </row>
    <row r="95" spans="1:10" x14ac:dyDescent="0.45">
      <c r="A95" s="2">
        <v>94</v>
      </c>
      <c r="B95" s="3" t="s">
        <v>204</v>
      </c>
      <c r="C95" s="3" t="s">
        <v>211</v>
      </c>
      <c r="D95" s="8" t="s">
        <v>21</v>
      </c>
      <c r="E95" s="5" t="s">
        <v>13</v>
      </c>
      <c r="F95" s="2">
        <v>25</v>
      </c>
      <c r="G95" s="6" t="s">
        <v>212</v>
      </c>
      <c r="H95" s="7" t="s">
        <v>15</v>
      </c>
      <c r="I95" s="3"/>
      <c r="J95" s="7"/>
    </row>
    <row r="96" spans="1:10" ht="27" x14ac:dyDescent="0.45">
      <c r="A96" s="2">
        <v>95</v>
      </c>
      <c r="B96" s="3" t="s">
        <v>204</v>
      </c>
      <c r="C96" s="3" t="s">
        <v>213</v>
      </c>
      <c r="D96" s="8" t="s">
        <v>21</v>
      </c>
      <c r="E96" s="5" t="s">
        <v>13</v>
      </c>
      <c r="F96" s="2">
        <v>20</v>
      </c>
      <c r="G96" s="6" t="s">
        <v>214</v>
      </c>
      <c r="H96" s="7" t="s">
        <v>15</v>
      </c>
      <c r="I96" s="3"/>
      <c r="J96" s="7"/>
    </row>
    <row r="97" spans="1:10" ht="27" x14ac:dyDescent="0.45">
      <c r="A97" s="2">
        <v>96</v>
      </c>
      <c r="B97" s="3" t="s">
        <v>204</v>
      </c>
      <c r="C97" s="3" t="s">
        <v>215</v>
      </c>
      <c r="D97" s="8" t="s">
        <v>21</v>
      </c>
      <c r="E97" s="5" t="s">
        <v>13</v>
      </c>
      <c r="F97" s="2">
        <v>20</v>
      </c>
      <c r="G97" s="6" t="s">
        <v>216</v>
      </c>
      <c r="H97" s="7" t="s">
        <v>15</v>
      </c>
      <c r="I97" s="3"/>
      <c r="J97" s="7"/>
    </row>
    <row r="98" spans="1:10" x14ac:dyDescent="0.45">
      <c r="A98" s="2">
        <v>97</v>
      </c>
      <c r="B98" s="3" t="s">
        <v>204</v>
      </c>
      <c r="C98" s="3" t="s">
        <v>217</v>
      </c>
      <c r="D98" s="8" t="s">
        <v>21</v>
      </c>
      <c r="E98" s="5" t="s">
        <v>13</v>
      </c>
      <c r="F98" s="2">
        <v>25</v>
      </c>
      <c r="G98" s="6" t="s">
        <v>218</v>
      </c>
      <c r="H98" s="7" t="s">
        <v>15</v>
      </c>
      <c r="I98" s="3"/>
      <c r="J98" s="7"/>
    </row>
    <row r="99" spans="1:10" x14ac:dyDescent="0.45">
      <c r="A99" s="2">
        <v>98</v>
      </c>
      <c r="B99" s="3" t="s">
        <v>204</v>
      </c>
      <c r="C99" s="3" t="s">
        <v>219</v>
      </c>
      <c r="D99" s="9" t="s">
        <v>68</v>
      </c>
      <c r="E99" s="5" t="s">
        <v>13</v>
      </c>
      <c r="F99" s="2">
        <v>30</v>
      </c>
      <c r="G99" s="6" t="s">
        <v>220</v>
      </c>
      <c r="H99" s="7" t="s">
        <v>15</v>
      </c>
      <c r="I99" s="3"/>
      <c r="J99" s="7"/>
    </row>
    <row r="100" spans="1:10" ht="27" x14ac:dyDescent="0.45">
      <c r="A100" s="2">
        <v>99</v>
      </c>
      <c r="B100" s="3" t="s">
        <v>221</v>
      </c>
      <c r="C100" s="3" t="s">
        <v>222</v>
      </c>
      <c r="D100" s="4" t="s">
        <v>12</v>
      </c>
      <c r="E100" s="5" t="s">
        <v>13</v>
      </c>
      <c r="F100" s="2">
        <v>15</v>
      </c>
      <c r="G100" s="6" t="s">
        <v>223</v>
      </c>
      <c r="H100" s="7" t="s">
        <v>15</v>
      </c>
      <c r="I100" s="3"/>
      <c r="J100" s="7"/>
    </row>
    <row r="101" spans="1:10" x14ac:dyDescent="0.45">
      <c r="A101" s="2">
        <v>100</v>
      </c>
      <c r="B101" s="3" t="s">
        <v>221</v>
      </c>
      <c r="C101" s="3" t="s">
        <v>224</v>
      </c>
      <c r="D101" s="8" t="s">
        <v>21</v>
      </c>
      <c r="E101" s="5" t="s">
        <v>13</v>
      </c>
      <c r="F101" s="2">
        <v>20</v>
      </c>
      <c r="G101" s="6" t="s">
        <v>225</v>
      </c>
      <c r="H101" s="7" t="s">
        <v>15</v>
      </c>
      <c r="I101" s="3"/>
      <c r="J101" s="7"/>
    </row>
    <row r="102" spans="1:10" x14ac:dyDescent="0.45">
      <c r="A102" s="2">
        <v>101</v>
      </c>
      <c r="B102" s="3" t="s">
        <v>221</v>
      </c>
      <c r="C102" s="3" t="s">
        <v>226</v>
      </c>
      <c r="D102" s="8" t="s">
        <v>21</v>
      </c>
      <c r="E102" s="5" t="s">
        <v>13</v>
      </c>
      <c r="F102" s="2">
        <v>20</v>
      </c>
      <c r="G102" s="6" t="s">
        <v>227</v>
      </c>
      <c r="H102" s="7" t="s">
        <v>15</v>
      </c>
      <c r="I102" s="3"/>
      <c r="J102" s="7"/>
    </row>
    <row r="103" spans="1:10" ht="27" x14ac:dyDescent="0.45">
      <c r="A103" s="2">
        <v>102</v>
      </c>
      <c r="B103" s="3" t="s">
        <v>221</v>
      </c>
      <c r="C103" s="3" t="s">
        <v>228</v>
      </c>
      <c r="D103" s="8" t="s">
        <v>21</v>
      </c>
      <c r="E103" s="5" t="s">
        <v>13</v>
      </c>
      <c r="F103" s="2">
        <v>25</v>
      </c>
      <c r="G103" s="6" t="s">
        <v>229</v>
      </c>
      <c r="H103" s="7" t="s">
        <v>15</v>
      </c>
      <c r="I103" s="3"/>
      <c r="J103" s="7"/>
    </row>
    <row r="104" spans="1:10" x14ac:dyDescent="0.45">
      <c r="A104" s="2">
        <v>103</v>
      </c>
      <c r="B104" s="3" t="s">
        <v>221</v>
      </c>
      <c r="C104" s="3" t="s">
        <v>230</v>
      </c>
      <c r="D104" s="8" t="s">
        <v>21</v>
      </c>
      <c r="E104" s="5" t="s">
        <v>13</v>
      </c>
      <c r="F104" s="2">
        <v>20</v>
      </c>
      <c r="G104" s="6" t="s">
        <v>231</v>
      </c>
      <c r="H104" s="7" t="s">
        <v>15</v>
      </c>
      <c r="I104" s="3"/>
      <c r="J104" s="7"/>
    </row>
    <row r="105" spans="1:10" x14ac:dyDescent="0.45">
      <c r="A105" s="2">
        <v>104</v>
      </c>
      <c r="B105" s="3" t="s">
        <v>221</v>
      </c>
      <c r="C105" s="3" t="s">
        <v>232</v>
      </c>
      <c r="D105" s="8" t="s">
        <v>21</v>
      </c>
      <c r="E105" s="5" t="s">
        <v>13</v>
      </c>
      <c r="F105" s="2">
        <v>20</v>
      </c>
      <c r="G105" s="6" t="s">
        <v>233</v>
      </c>
      <c r="H105" s="7" t="s">
        <v>15</v>
      </c>
      <c r="I105" s="3"/>
      <c r="J105" s="7"/>
    </row>
    <row r="106" spans="1:10" x14ac:dyDescent="0.45">
      <c r="A106" s="2">
        <v>105</v>
      </c>
      <c r="B106" s="3" t="s">
        <v>221</v>
      </c>
      <c r="C106" s="3" t="s">
        <v>234</v>
      </c>
      <c r="D106" s="8" t="s">
        <v>21</v>
      </c>
      <c r="E106" s="5" t="s">
        <v>13</v>
      </c>
      <c r="F106" s="2">
        <v>20</v>
      </c>
      <c r="G106" s="6" t="s">
        <v>235</v>
      </c>
      <c r="H106" s="7" t="s">
        <v>15</v>
      </c>
      <c r="I106" s="3"/>
      <c r="J106" s="7"/>
    </row>
    <row r="107" spans="1:10" x14ac:dyDescent="0.45">
      <c r="A107" s="2">
        <v>106</v>
      </c>
      <c r="B107" s="3" t="s">
        <v>221</v>
      </c>
      <c r="C107" s="3" t="s">
        <v>236</v>
      </c>
      <c r="D107" s="8" t="s">
        <v>21</v>
      </c>
      <c r="E107" s="5" t="s">
        <v>13</v>
      </c>
      <c r="F107" s="2">
        <v>20</v>
      </c>
      <c r="G107" s="6" t="s">
        <v>237</v>
      </c>
      <c r="H107" s="7" t="s">
        <v>15</v>
      </c>
      <c r="I107" s="3"/>
      <c r="J107" s="7"/>
    </row>
    <row r="108" spans="1:10" x14ac:dyDescent="0.45">
      <c r="A108" s="2">
        <v>107</v>
      </c>
      <c r="B108" s="3" t="s">
        <v>221</v>
      </c>
      <c r="C108" s="3" t="s">
        <v>238</v>
      </c>
      <c r="D108" s="8" t="s">
        <v>21</v>
      </c>
      <c r="E108" s="5" t="s">
        <v>13</v>
      </c>
      <c r="F108" s="2">
        <v>25</v>
      </c>
      <c r="G108" s="6" t="s">
        <v>239</v>
      </c>
      <c r="H108" s="7" t="s">
        <v>15</v>
      </c>
      <c r="I108" s="3"/>
      <c r="J108" s="7"/>
    </row>
    <row r="109" spans="1:10" ht="27" x14ac:dyDescent="0.45">
      <c r="A109" s="2">
        <v>108</v>
      </c>
      <c r="B109" s="3" t="s">
        <v>221</v>
      </c>
      <c r="C109" s="3" t="s">
        <v>240</v>
      </c>
      <c r="D109" s="8" t="s">
        <v>21</v>
      </c>
      <c r="E109" s="5" t="s">
        <v>13</v>
      </c>
      <c r="F109" s="2">
        <v>20</v>
      </c>
      <c r="G109" s="6" t="s">
        <v>241</v>
      </c>
      <c r="H109" s="7" t="s">
        <v>15</v>
      </c>
      <c r="I109" s="3"/>
      <c r="J109" s="7"/>
    </row>
    <row r="110" spans="1:10" x14ac:dyDescent="0.45">
      <c r="A110" s="2">
        <v>109</v>
      </c>
      <c r="B110" s="3" t="s">
        <v>242</v>
      </c>
      <c r="C110" s="3" t="s">
        <v>243</v>
      </c>
      <c r="D110" s="8" t="s">
        <v>21</v>
      </c>
      <c r="E110" s="5" t="s">
        <v>13</v>
      </c>
      <c r="F110" s="2">
        <v>15</v>
      </c>
      <c r="G110" s="6" t="s">
        <v>244</v>
      </c>
      <c r="H110" s="7" t="s">
        <v>15</v>
      </c>
      <c r="I110" s="3"/>
      <c r="J110" s="7"/>
    </row>
    <row r="111" spans="1:10" ht="27" x14ac:dyDescent="0.45">
      <c r="A111" s="2">
        <v>110</v>
      </c>
      <c r="B111" s="3" t="s">
        <v>242</v>
      </c>
      <c r="C111" s="3" t="s">
        <v>245</v>
      </c>
      <c r="D111" s="8" t="s">
        <v>21</v>
      </c>
      <c r="E111" s="5" t="s">
        <v>13</v>
      </c>
      <c r="F111" s="2">
        <v>20</v>
      </c>
      <c r="G111" s="6" t="s">
        <v>246</v>
      </c>
      <c r="H111" s="7" t="s">
        <v>15</v>
      </c>
      <c r="I111" s="3"/>
      <c r="J111" s="7"/>
    </row>
    <row r="112" spans="1:10" x14ac:dyDescent="0.45">
      <c r="A112" s="2">
        <v>111</v>
      </c>
      <c r="B112" s="3" t="s">
        <v>242</v>
      </c>
      <c r="C112" s="3" t="s">
        <v>247</v>
      </c>
      <c r="D112" s="8" t="s">
        <v>21</v>
      </c>
      <c r="E112" s="5" t="s">
        <v>13</v>
      </c>
      <c r="F112" s="2">
        <v>20</v>
      </c>
      <c r="G112" s="6" t="s">
        <v>248</v>
      </c>
      <c r="H112" s="7" t="s">
        <v>15</v>
      </c>
      <c r="I112" s="3"/>
      <c r="J112" s="7"/>
    </row>
    <row r="113" spans="1:10" x14ac:dyDescent="0.45">
      <c r="A113" s="2">
        <v>112</v>
      </c>
      <c r="B113" s="3" t="s">
        <v>242</v>
      </c>
      <c r="C113" s="3" t="s">
        <v>249</v>
      </c>
      <c r="D113" s="8" t="s">
        <v>21</v>
      </c>
      <c r="E113" s="5" t="s">
        <v>13</v>
      </c>
      <c r="F113" s="2">
        <v>25</v>
      </c>
      <c r="G113" s="6" t="s">
        <v>250</v>
      </c>
      <c r="H113" s="7" t="s">
        <v>15</v>
      </c>
      <c r="I113" s="3"/>
      <c r="J113" s="7"/>
    </row>
    <row r="114" spans="1:10" x14ac:dyDescent="0.45">
      <c r="A114" s="2">
        <v>113</v>
      </c>
      <c r="B114" s="3" t="s">
        <v>242</v>
      </c>
      <c r="C114" s="3" t="s">
        <v>251</v>
      </c>
      <c r="D114" s="8" t="s">
        <v>21</v>
      </c>
      <c r="E114" s="5" t="s">
        <v>13</v>
      </c>
      <c r="F114" s="2">
        <v>25</v>
      </c>
      <c r="G114" s="6" t="s">
        <v>252</v>
      </c>
      <c r="H114" s="7" t="s">
        <v>15</v>
      </c>
      <c r="I114" s="3"/>
      <c r="J114" s="7"/>
    </row>
    <row r="115" spans="1:10" x14ac:dyDescent="0.45">
      <c r="A115" s="2">
        <v>114</v>
      </c>
      <c r="B115" s="3" t="s">
        <v>242</v>
      </c>
      <c r="C115" s="3" t="s">
        <v>253</v>
      </c>
      <c r="D115" s="8" t="s">
        <v>21</v>
      </c>
      <c r="E115" s="5" t="s">
        <v>13</v>
      </c>
      <c r="F115" s="2">
        <v>25</v>
      </c>
      <c r="G115" s="6" t="s">
        <v>254</v>
      </c>
      <c r="H115" s="7" t="s">
        <v>15</v>
      </c>
      <c r="I115" s="3"/>
      <c r="J115" s="7"/>
    </row>
    <row r="116" spans="1:10" x14ac:dyDescent="0.45">
      <c r="A116" s="2">
        <v>115</v>
      </c>
      <c r="B116" s="3" t="s">
        <v>242</v>
      </c>
      <c r="C116" s="3" t="s">
        <v>255</v>
      </c>
      <c r="D116" s="8" t="s">
        <v>21</v>
      </c>
      <c r="E116" s="5" t="s">
        <v>13</v>
      </c>
      <c r="F116" s="2">
        <v>25</v>
      </c>
      <c r="G116" s="6" t="s">
        <v>256</v>
      </c>
      <c r="H116" s="7" t="s">
        <v>15</v>
      </c>
      <c r="I116" s="3"/>
      <c r="J116" s="7"/>
    </row>
    <row r="117" spans="1:10" x14ac:dyDescent="0.45">
      <c r="A117" s="2">
        <v>116</v>
      </c>
      <c r="B117" s="3" t="s">
        <v>242</v>
      </c>
      <c r="C117" s="3" t="s">
        <v>257</v>
      </c>
      <c r="D117" s="9" t="s">
        <v>68</v>
      </c>
      <c r="E117" s="5" t="s">
        <v>13</v>
      </c>
      <c r="F117" s="2">
        <v>30</v>
      </c>
      <c r="G117" s="6" t="s">
        <v>258</v>
      </c>
      <c r="H117" s="7" t="s">
        <v>15</v>
      </c>
      <c r="I117" s="3"/>
      <c r="J117" s="7"/>
    </row>
    <row r="118" spans="1:10" x14ac:dyDescent="0.45">
      <c r="A118" s="2">
        <v>117</v>
      </c>
      <c r="B118" s="3" t="s">
        <v>259</v>
      </c>
      <c r="C118" s="3" t="s">
        <v>260</v>
      </c>
      <c r="D118" s="8" t="s">
        <v>21</v>
      </c>
      <c r="E118" s="5" t="s">
        <v>13</v>
      </c>
      <c r="F118" s="2">
        <v>20</v>
      </c>
      <c r="G118" s="6" t="s">
        <v>261</v>
      </c>
      <c r="H118" s="7" t="s">
        <v>15</v>
      </c>
      <c r="I118" s="3"/>
      <c r="J118" s="7"/>
    </row>
    <row r="119" spans="1:10" x14ac:dyDescent="0.45">
      <c r="A119" s="2">
        <v>118</v>
      </c>
      <c r="B119" s="3" t="s">
        <v>259</v>
      </c>
      <c r="C119" s="3" t="s">
        <v>262</v>
      </c>
      <c r="D119" s="4" t="s">
        <v>12</v>
      </c>
      <c r="E119" s="5" t="s">
        <v>13</v>
      </c>
      <c r="F119" s="2">
        <v>15</v>
      </c>
      <c r="G119" s="6" t="s">
        <v>263</v>
      </c>
      <c r="H119" s="7" t="s">
        <v>15</v>
      </c>
      <c r="I119" s="3"/>
      <c r="J119" s="7"/>
    </row>
    <row r="120" spans="1:10" x14ac:dyDescent="0.45">
      <c r="A120" s="2">
        <v>119</v>
      </c>
      <c r="B120" s="3" t="s">
        <v>259</v>
      </c>
      <c r="C120" s="3" t="s">
        <v>264</v>
      </c>
      <c r="D120" s="8" t="s">
        <v>21</v>
      </c>
      <c r="E120" s="5" t="s">
        <v>13</v>
      </c>
      <c r="F120" s="2">
        <v>20</v>
      </c>
      <c r="G120" s="6" t="s">
        <v>265</v>
      </c>
      <c r="H120" s="7" t="s">
        <v>15</v>
      </c>
      <c r="I120" s="3"/>
      <c r="J120" s="7"/>
    </row>
    <row r="121" spans="1:10" x14ac:dyDescent="0.45">
      <c r="A121" s="2">
        <v>120</v>
      </c>
      <c r="B121" s="3" t="s">
        <v>259</v>
      </c>
      <c r="C121" s="3" t="s">
        <v>266</v>
      </c>
      <c r="D121" s="8" t="s">
        <v>21</v>
      </c>
      <c r="E121" s="5" t="s">
        <v>13</v>
      </c>
      <c r="F121" s="2">
        <v>20</v>
      </c>
      <c r="G121" s="6" t="s">
        <v>267</v>
      </c>
      <c r="H121" s="7" t="s">
        <v>15</v>
      </c>
      <c r="I121" s="3"/>
      <c r="J121" s="7"/>
    </row>
    <row r="122" spans="1:10" ht="27" x14ac:dyDescent="0.45">
      <c r="A122" s="2">
        <v>121</v>
      </c>
      <c r="B122" s="3" t="s">
        <v>259</v>
      </c>
      <c r="C122" s="3" t="s">
        <v>268</v>
      </c>
      <c r="D122" s="8" t="s">
        <v>21</v>
      </c>
      <c r="E122" s="5" t="s">
        <v>13</v>
      </c>
      <c r="F122" s="2">
        <v>25</v>
      </c>
      <c r="G122" s="6" t="s">
        <v>269</v>
      </c>
      <c r="H122" s="7" t="s">
        <v>15</v>
      </c>
      <c r="I122" s="3"/>
      <c r="J122" s="7"/>
    </row>
    <row r="123" spans="1:10" x14ac:dyDescent="0.45">
      <c r="A123" s="2">
        <v>122</v>
      </c>
      <c r="B123" s="3" t="s">
        <v>259</v>
      </c>
      <c r="C123" s="3" t="s">
        <v>270</v>
      </c>
      <c r="D123" s="9" t="s">
        <v>68</v>
      </c>
      <c r="E123" s="5" t="s">
        <v>13</v>
      </c>
      <c r="F123" s="2">
        <v>30</v>
      </c>
      <c r="G123" s="6" t="s">
        <v>271</v>
      </c>
      <c r="H123" s="7" t="s">
        <v>15</v>
      </c>
      <c r="I123" s="3"/>
      <c r="J123" s="7"/>
    </row>
    <row r="124" spans="1:10" x14ac:dyDescent="0.45">
      <c r="A124" s="2">
        <v>123</v>
      </c>
      <c r="B124" s="3" t="s">
        <v>272</v>
      </c>
      <c r="C124" s="3" t="s">
        <v>273</v>
      </c>
      <c r="D124" s="8" t="s">
        <v>21</v>
      </c>
      <c r="E124" s="5" t="s">
        <v>13</v>
      </c>
      <c r="F124" s="2">
        <v>20</v>
      </c>
      <c r="G124" s="6" t="s">
        <v>274</v>
      </c>
      <c r="H124" s="7" t="s">
        <v>15</v>
      </c>
      <c r="I124" s="3"/>
      <c r="J124" s="7"/>
    </row>
    <row r="125" spans="1:10" ht="27" x14ac:dyDescent="0.45">
      <c r="A125" s="2">
        <v>124</v>
      </c>
      <c r="B125" s="3" t="s">
        <v>272</v>
      </c>
      <c r="C125" s="3" t="s">
        <v>275</v>
      </c>
      <c r="D125" s="8" t="s">
        <v>21</v>
      </c>
      <c r="E125" s="5" t="s">
        <v>13</v>
      </c>
      <c r="F125" s="2">
        <v>20</v>
      </c>
      <c r="G125" s="6" t="s">
        <v>276</v>
      </c>
      <c r="H125" s="7" t="s">
        <v>15</v>
      </c>
      <c r="I125" s="3"/>
      <c r="J125" s="7"/>
    </row>
    <row r="126" spans="1:10" x14ac:dyDescent="0.45">
      <c r="A126" s="2">
        <v>125</v>
      </c>
      <c r="B126" s="3" t="s">
        <v>272</v>
      </c>
      <c r="C126" s="3" t="s">
        <v>277</v>
      </c>
      <c r="D126" s="8" t="s">
        <v>21</v>
      </c>
      <c r="E126" s="5" t="s">
        <v>13</v>
      </c>
      <c r="F126" s="2">
        <v>20</v>
      </c>
      <c r="G126" s="6" t="s">
        <v>278</v>
      </c>
      <c r="H126" s="7" t="s">
        <v>15</v>
      </c>
      <c r="I126" s="3"/>
      <c r="J126" s="7"/>
    </row>
    <row r="127" spans="1:10" x14ac:dyDescent="0.45">
      <c r="A127" s="2">
        <v>126</v>
      </c>
      <c r="B127" s="3" t="s">
        <v>272</v>
      </c>
      <c r="C127" s="3" t="s">
        <v>279</v>
      </c>
      <c r="D127" s="8" t="s">
        <v>21</v>
      </c>
      <c r="E127" s="5" t="s">
        <v>13</v>
      </c>
      <c r="F127" s="2">
        <v>20</v>
      </c>
      <c r="G127" s="6" t="s">
        <v>280</v>
      </c>
      <c r="H127" s="7" t="s">
        <v>15</v>
      </c>
      <c r="I127" s="3"/>
      <c r="J127" s="7"/>
    </row>
    <row r="128" spans="1:10" x14ac:dyDescent="0.45">
      <c r="A128" s="2">
        <v>127</v>
      </c>
      <c r="B128" s="3" t="s">
        <v>272</v>
      </c>
      <c r="C128" s="3" t="s">
        <v>281</v>
      </c>
      <c r="D128" s="8" t="s">
        <v>21</v>
      </c>
      <c r="E128" s="5" t="s">
        <v>13</v>
      </c>
      <c r="F128" s="2">
        <v>20</v>
      </c>
      <c r="G128" s="6" t="s">
        <v>282</v>
      </c>
      <c r="H128" s="7" t="s">
        <v>15</v>
      </c>
      <c r="I128" s="3"/>
      <c r="J128" s="7"/>
    </row>
    <row r="129" spans="1:10" ht="27" x14ac:dyDescent="0.45">
      <c r="A129" s="2">
        <v>128</v>
      </c>
      <c r="B129" s="3" t="s">
        <v>283</v>
      </c>
      <c r="C129" s="3" t="s">
        <v>284</v>
      </c>
      <c r="D129" s="8" t="s">
        <v>21</v>
      </c>
      <c r="E129" s="5" t="s">
        <v>13</v>
      </c>
      <c r="F129" s="2">
        <v>30</v>
      </c>
      <c r="G129" s="6" t="s">
        <v>285</v>
      </c>
      <c r="H129" s="7" t="s">
        <v>15</v>
      </c>
      <c r="I129" s="3"/>
      <c r="J129" s="7"/>
    </row>
    <row r="130" spans="1:10" ht="27" x14ac:dyDescent="0.45">
      <c r="A130" s="2">
        <v>129</v>
      </c>
      <c r="B130" s="3" t="s">
        <v>283</v>
      </c>
      <c r="C130" s="3" t="s">
        <v>286</v>
      </c>
      <c r="D130" s="8" t="s">
        <v>21</v>
      </c>
      <c r="E130" s="5" t="s">
        <v>13</v>
      </c>
      <c r="F130" s="2">
        <v>25</v>
      </c>
      <c r="G130" s="6" t="s">
        <v>287</v>
      </c>
      <c r="H130" s="7" t="s">
        <v>15</v>
      </c>
      <c r="I130" s="3"/>
      <c r="J130" s="7"/>
    </row>
    <row r="131" spans="1:10" ht="27" x14ac:dyDescent="0.45">
      <c r="A131" s="2">
        <v>130</v>
      </c>
      <c r="B131" s="3" t="s">
        <v>283</v>
      </c>
      <c r="C131" s="3" t="s">
        <v>288</v>
      </c>
      <c r="D131" s="9" t="s">
        <v>68</v>
      </c>
      <c r="E131" s="5" t="s">
        <v>13</v>
      </c>
      <c r="F131" s="2">
        <v>30</v>
      </c>
      <c r="G131" s="6" t="s">
        <v>289</v>
      </c>
      <c r="H131" s="7" t="s">
        <v>15</v>
      </c>
      <c r="I131" s="3"/>
      <c r="J131" s="7"/>
    </row>
  </sheetData>
  <autoFilter ref="A1:J131" xr:uid="{00000000-0009-0000-0000-000000000000}"/>
  <dataValidations count="1">
    <dataValidation type="list" allowBlank="1" sqref="H2:H131" xr:uid="{00000000-0002-0000-0000-000000000000}">
      <formula1>"Not Started,In Progress,Done,Skipped"</formula1>
      <formula2>0</formula2>
    </dataValidation>
  </dataValidations>
  <hyperlinks>
    <hyperlink ref="E5" r:id="rId1" xr:uid="{00000000-0004-0000-0000-000003000000}"/>
    <hyperlink ref="E6" r:id="rId2" xr:uid="{00000000-0004-0000-0000-000004000000}"/>
    <hyperlink ref="E7" r:id="rId3" xr:uid="{00000000-0004-0000-0000-000005000000}"/>
    <hyperlink ref="E8" r:id="rId4" xr:uid="{00000000-0004-0000-0000-000006000000}"/>
    <hyperlink ref="E9" r:id="rId5" xr:uid="{00000000-0004-0000-0000-000007000000}"/>
    <hyperlink ref="E10" r:id="rId6" xr:uid="{00000000-0004-0000-0000-000008000000}"/>
    <hyperlink ref="E11" r:id="rId7" xr:uid="{00000000-0004-0000-0000-000009000000}"/>
    <hyperlink ref="E12" r:id="rId8" xr:uid="{00000000-0004-0000-0000-00000A000000}"/>
    <hyperlink ref="E13" r:id="rId9" xr:uid="{00000000-0004-0000-0000-00000B000000}"/>
    <hyperlink ref="E14" r:id="rId10" xr:uid="{00000000-0004-0000-0000-00000C000000}"/>
    <hyperlink ref="E17" r:id="rId11" xr:uid="{00000000-0004-0000-0000-00000F000000}"/>
    <hyperlink ref="E18" r:id="rId12" xr:uid="{00000000-0004-0000-0000-000010000000}"/>
    <hyperlink ref="E19" r:id="rId13" xr:uid="{00000000-0004-0000-0000-000011000000}"/>
    <hyperlink ref="E21" r:id="rId14" xr:uid="{00000000-0004-0000-0000-000013000000}"/>
    <hyperlink ref="E22" r:id="rId15" xr:uid="{00000000-0004-0000-0000-000014000000}"/>
    <hyperlink ref="E23" r:id="rId16" xr:uid="{00000000-0004-0000-0000-000015000000}"/>
    <hyperlink ref="E24" r:id="rId17" xr:uid="{00000000-0004-0000-0000-000016000000}"/>
    <hyperlink ref="E25" r:id="rId18" xr:uid="{00000000-0004-0000-0000-000017000000}"/>
    <hyperlink ref="E26" r:id="rId19" xr:uid="{00000000-0004-0000-0000-000018000000}"/>
    <hyperlink ref="E27" r:id="rId20" xr:uid="{00000000-0004-0000-0000-000019000000}"/>
    <hyperlink ref="E29" r:id="rId21" xr:uid="{00000000-0004-0000-0000-00001B000000}"/>
    <hyperlink ref="E30" r:id="rId22" xr:uid="{00000000-0004-0000-0000-00001C000000}"/>
    <hyperlink ref="E31" r:id="rId23" xr:uid="{00000000-0004-0000-0000-00001D000000}"/>
    <hyperlink ref="E32" r:id="rId24" xr:uid="{00000000-0004-0000-0000-00001E000000}"/>
    <hyperlink ref="E39" r:id="rId25" xr:uid="{00000000-0004-0000-0000-000025000000}"/>
    <hyperlink ref="E40" r:id="rId26" xr:uid="{00000000-0004-0000-0000-000026000000}"/>
    <hyperlink ref="E42" r:id="rId27" xr:uid="{00000000-0004-0000-0000-000028000000}"/>
    <hyperlink ref="E43" r:id="rId28" xr:uid="{00000000-0004-0000-0000-000029000000}"/>
    <hyperlink ref="E50" r:id="rId29" xr:uid="{00000000-0004-0000-0000-000030000000}"/>
    <hyperlink ref="E51" r:id="rId30" xr:uid="{00000000-0004-0000-0000-000031000000}"/>
    <hyperlink ref="E52" r:id="rId31" xr:uid="{00000000-0004-0000-0000-000032000000}"/>
    <hyperlink ref="E53" r:id="rId32" xr:uid="{00000000-0004-0000-0000-000033000000}"/>
    <hyperlink ref="E54" r:id="rId33" xr:uid="{00000000-0004-0000-0000-000034000000}"/>
    <hyperlink ref="E57" r:id="rId34" xr:uid="{00000000-0004-0000-0000-000037000000}"/>
    <hyperlink ref="E58" r:id="rId35" xr:uid="{00000000-0004-0000-0000-000038000000}"/>
    <hyperlink ref="E60" r:id="rId36" xr:uid="{00000000-0004-0000-0000-00003A000000}"/>
    <hyperlink ref="E61" r:id="rId37" xr:uid="{00000000-0004-0000-0000-00003B000000}"/>
    <hyperlink ref="E65" r:id="rId38" xr:uid="{00000000-0004-0000-0000-00003F000000}"/>
    <hyperlink ref="E66" r:id="rId39" xr:uid="{00000000-0004-0000-0000-000040000000}"/>
    <hyperlink ref="E67" r:id="rId40" xr:uid="{00000000-0004-0000-0000-000041000000}"/>
    <hyperlink ref="E68" r:id="rId41" xr:uid="{00000000-0004-0000-0000-000042000000}"/>
    <hyperlink ref="E69" r:id="rId42" xr:uid="{00000000-0004-0000-0000-000043000000}"/>
    <hyperlink ref="E74" r:id="rId43" xr:uid="{00000000-0004-0000-0000-000048000000}"/>
    <hyperlink ref="E78" r:id="rId44" xr:uid="{00000000-0004-0000-0000-00004C000000}"/>
    <hyperlink ref="E79" r:id="rId45" xr:uid="{00000000-0004-0000-0000-00004D000000}"/>
    <hyperlink ref="E80" r:id="rId46" xr:uid="{00000000-0004-0000-0000-00004E000000}"/>
    <hyperlink ref="E81" r:id="rId47" xr:uid="{00000000-0004-0000-0000-00004F000000}"/>
    <hyperlink ref="E82" r:id="rId48" xr:uid="{00000000-0004-0000-0000-000050000000}"/>
    <hyperlink ref="E84" r:id="rId49" xr:uid="{00000000-0004-0000-0000-000052000000}"/>
    <hyperlink ref="E85" r:id="rId50" xr:uid="{00000000-0004-0000-0000-000053000000}"/>
    <hyperlink ref="E86" r:id="rId51" xr:uid="{00000000-0004-0000-0000-000054000000}"/>
    <hyperlink ref="E87" r:id="rId52" xr:uid="{00000000-0004-0000-0000-000055000000}"/>
    <hyperlink ref="E88" r:id="rId53" xr:uid="{00000000-0004-0000-0000-000056000000}"/>
    <hyperlink ref="E89" r:id="rId54" xr:uid="{00000000-0004-0000-0000-000057000000}"/>
    <hyperlink ref="E90" r:id="rId55" xr:uid="{00000000-0004-0000-0000-000058000000}"/>
    <hyperlink ref="E91" r:id="rId56" xr:uid="{00000000-0004-0000-0000-000059000000}"/>
    <hyperlink ref="E92" r:id="rId57" xr:uid="{00000000-0004-0000-0000-00005A000000}"/>
    <hyperlink ref="E93" r:id="rId58" xr:uid="{00000000-0004-0000-0000-00005B000000}"/>
    <hyperlink ref="E94" r:id="rId59" xr:uid="{00000000-0004-0000-0000-00005C000000}"/>
    <hyperlink ref="E95" r:id="rId60" xr:uid="{00000000-0004-0000-0000-00005D000000}"/>
    <hyperlink ref="E96" r:id="rId61" xr:uid="{00000000-0004-0000-0000-00005E000000}"/>
    <hyperlink ref="E97" r:id="rId62" xr:uid="{00000000-0004-0000-0000-00005F000000}"/>
    <hyperlink ref="E98" r:id="rId63" xr:uid="{00000000-0004-0000-0000-000060000000}"/>
    <hyperlink ref="E99" r:id="rId64" xr:uid="{00000000-0004-0000-0000-000061000000}"/>
    <hyperlink ref="E101" r:id="rId65" xr:uid="{00000000-0004-0000-0000-000063000000}"/>
    <hyperlink ref="E102" r:id="rId66" xr:uid="{00000000-0004-0000-0000-000064000000}"/>
    <hyperlink ref="E103" r:id="rId67" xr:uid="{00000000-0004-0000-0000-000065000000}"/>
    <hyperlink ref="E104" r:id="rId68" xr:uid="{00000000-0004-0000-0000-000066000000}"/>
    <hyperlink ref="E105" r:id="rId69" xr:uid="{00000000-0004-0000-0000-000067000000}"/>
    <hyperlink ref="E106" r:id="rId70" xr:uid="{00000000-0004-0000-0000-000068000000}"/>
    <hyperlink ref="E107" r:id="rId71" xr:uid="{00000000-0004-0000-0000-000069000000}"/>
    <hyperlink ref="E108" r:id="rId72" xr:uid="{00000000-0004-0000-0000-00006A000000}"/>
    <hyperlink ref="E109" r:id="rId73" xr:uid="{00000000-0004-0000-0000-00006B000000}"/>
    <hyperlink ref="E110" r:id="rId74" xr:uid="{00000000-0004-0000-0000-00006C000000}"/>
    <hyperlink ref="E111" r:id="rId75" xr:uid="{00000000-0004-0000-0000-00006D000000}"/>
    <hyperlink ref="E112" r:id="rId76" xr:uid="{00000000-0004-0000-0000-00006E000000}"/>
    <hyperlink ref="E113" r:id="rId77" xr:uid="{00000000-0004-0000-0000-00006F000000}"/>
    <hyperlink ref="E114" r:id="rId78" xr:uid="{00000000-0004-0000-0000-000070000000}"/>
    <hyperlink ref="E115" r:id="rId79" xr:uid="{00000000-0004-0000-0000-000071000000}"/>
    <hyperlink ref="E116" r:id="rId80" xr:uid="{00000000-0004-0000-0000-000072000000}"/>
    <hyperlink ref="E117" r:id="rId81" xr:uid="{00000000-0004-0000-0000-000073000000}"/>
    <hyperlink ref="E118" r:id="rId82" xr:uid="{00000000-0004-0000-0000-000074000000}"/>
    <hyperlink ref="E120" r:id="rId83" xr:uid="{00000000-0004-0000-0000-000076000000}"/>
    <hyperlink ref="E121" r:id="rId84" xr:uid="{00000000-0004-0000-0000-000077000000}"/>
    <hyperlink ref="E122" r:id="rId85" xr:uid="{00000000-0004-0000-0000-000078000000}"/>
    <hyperlink ref="E123" r:id="rId86" xr:uid="{00000000-0004-0000-0000-000079000000}"/>
    <hyperlink ref="E124" r:id="rId87" xr:uid="{00000000-0004-0000-0000-00007A000000}"/>
    <hyperlink ref="E125" r:id="rId88" xr:uid="{00000000-0004-0000-0000-00007B000000}"/>
    <hyperlink ref="E126" r:id="rId89" xr:uid="{00000000-0004-0000-0000-00007C000000}"/>
    <hyperlink ref="E127" r:id="rId90" xr:uid="{00000000-0004-0000-0000-00007D000000}"/>
    <hyperlink ref="E128" r:id="rId91" xr:uid="{00000000-0004-0000-0000-00007E000000}"/>
    <hyperlink ref="E129" r:id="rId92" xr:uid="{00000000-0004-0000-0000-00007F000000}"/>
    <hyperlink ref="E130" r:id="rId93" xr:uid="{00000000-0004-0000-0000-000080000000}"/>
    <hyperlink ref="E131" r:id="rId94" xr:uid="{00000000-0004-0000-0000-000081000000}"/>
    <hyperlink ref="E119" r:id="rId95" xr:uid="{00000000-0004-0000-0000-000075000000}"/>
    <hyperlink ref="E100" r:id="rId96" xr:uid="{00000000-0004-0000-0000-000062000000}"/>
    <hyperlink ref="E83" r:id="rId97" xr:uid="{00000000-0004-0000-0000-000051000000}"/>
    <hyperlink ref="E77" r:id="rId98" xr:uid="{00000000-0004-0000-0000-00004B000000}"/>
    <hyperlink ref="E76" r:id="rId99" xr:uid="{00000000-0004-0000-0000-00004A000000}"/>
    <hyperlink ref="E75" r:id="rId100" xr:uid="{00000000-0004-0000-0000-000049000000}"/>
    <hyperlink ref="E73" r:id="rId101" xr:uid="{00000000-0004-0000-0000-000047000000}"/>
    <hyperlink ref="E72" r:id="rId102" xr:uid="{00000000-0004-0000-0000-000046000000}"/>
    <hyperlink ref="E71" r:id="rId103" xr:uid="{00000000-0004-0000-0000-000045000000}"/>
    <hyperlink ref="E70" r:id="rId104" xr:uid="{00000000-0004-0000-0000-000044000000}"/>
    <hyperlink ref="E64" r:id="rId105" xr:uid="{00000000-0004-0000-0000-00003E000000}"/>
    <hyperlink ref="E63" r:id="rId106" xr:uid="{00000000-0004-0000-0000-00003D000000}"/>
    <hyperlink ref="E62" r:id="rId107" xr:uid="{00000000-0004-0000-0000-00003C000000}"/>
    <hyperlink ref="E59" r:id="rId108" xr:uid="{00000000-0004-0000-0000-000039000000}"/>
    <hyperlink ref="E56" r:id="rId109" xr:uid="{00000000-0004-0000-0000-000036000000}"/>
    <hyperlink ref="E55" r:id="rId110" xr:uid="{00000000-0004-0000-0000-000035000000}"/>
    <hyperlink ref="E49" r:id="rId111" xr:uid="{00000000-0004-0000-0000-00002F000000}"/>
    <hyperlink ref="E48" r:id="rId112" xr:uid="{00000000-0004-0000-0000-00002E000000}"/>
    <hyperlink ref="E47" r:id="rId113" xr:uid="{00000000-0004-0000-0000-00002D000000}"/>
    <hyperlink ref="E46" r:id="rId114" xr:uid="{00000000-0004-0000-0000-00002C000000}"/>
    <hyperlink ref="E45" r:id="rId115" xr:uid="{00000000-0004-0000-0000-00002B000000}"/>
    <hyperlink ref="E44" r:id="rId116" xr:uid="{00000000-0004-0000-0000-00002A000000}"/>
    <hyperlink ref="E41" r:id="rId117" xr:uid="{00000000-0004-0000-0000-000027000000}"/>
    <hyperlink ref="E38" r:id="rId118" xr:uid="{00000000-0004-0000-0000-000024000000}"/>
    <hyperlink ref="E37" r:id="rId119" xr:uid="{00000000-0004-0000-0000-000023000000}"/>
    <hyperlink ref="E36" r:id="rId120" xr:uid="{00000000-0004-0000-0000-000022000000}"/>
    <hyperlink ref="E35" r:id="rId121" xr:uid="{00000000-0004-0000-0000-000021000000}"/>
    <hyperlink ref="E34" r:id="rId122" xr:uid="{00000000-0004-0000-0000-000020000000}"/>
    <hyperlink ref="E33" r:id="rId123" xr:uid="{00000000-0004-0000-0000-00001F000000}"/>
    <hyperlink ref="E28" r:id="rId124" xr:uid="{00000000-0004-0000-0000-00001A000000}"/>
    <hyperlink ref="E20" r:id="rId125" xr:uid="{00000000-0004-0000-0000-000012000000}"/>
    <hyperlink ref="E16" r:id="rId126" xr:uid="{00000000-0004-0000-0000-00000E000000}"/>
    <hyperlink ref="E15" r:id="rId127" xr:uid="{00000000-0004-0000-0000-00000D000000}"/>
    <hyperlink ref="E4" r:id="rId128" xr:uid="{00000000-0004-0000-0000-000002000000}"/>
    <hyperlink ref="E3" r:id="rId129" xr:uid="{00000000-0004-0000-0000-000001000000}"/>
    <hyperlink ref="E2" r:id="rId130" xr:uid="{00000000-0004-0000-0000-000000000000}"/>
  </hyperlinks>
  <pageMargins left="0.75" right="0.75" top="1" bottom="1" header="0.511811023622047" footer="0.511811023622047"/>
  <pageSetup paperSize="9" orientation="portrait" horizontalDpi="300" verticalDpi="300"/>
  <legacyDrawing r:id="rId1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/>
  </sheetViews>
  <sheetFormatPr defaultColWidth="8.6640625" defaultRowHeight="14.25" x14ac:dyDescent="0.45"/>
  <cols>
    <col min="1" max="1" width="22" customWidth="1"/>
    <col min="2" max="2" width="14" customWidth="1"/>
    <col min="4" max="4" width="60" customWidth="1"/>
  </cols>
  <sheetData>
    <row r="1" spans="1:4" ht="17.649999999999999" x14ac:dyDescent="0.5">
      <c r="A1" s="15" t="s">
        <v>290</v>
      </c>
      <c r="B1" s="15"/>
      <c r="C1" s="15"/>
      <c r="D1" s="10" t="s">
        <v>291</v>
      </c>
    </row>
    <row r="2" spans="1:4" x14ac:dyDescent="0.45">
      <c r="D2" s="11" t="s">
        <v>292</v>
      </c>
    </row>
    <row r="3" spans="1:4" x14ac:dyDescent="0.45">
      <c r="A3" s="10" t="s">
        <v>293</v>
      </c>
      <c r="B3" s="12">
        <f>COUNTA('130-Day Plan'!A2:A131)</f>
        <v>130</v>
      </c>
      <c r="D3" s="11" t="s">
        <v>294</v>
      </c>
    </row>
    <row r="4" spans="1:4" x14ac:dyDescent="0.45">
      <c r="A4" s="10" t="s">
        <v>295</v>
      </c>
      <c r="B4" s="12">
        <f>COUNTIF('130-Day Plan'!H2:H131,"Done")</f>
        <v>0</v>
      </c>
      <c r="D4" s="11" t="s">
        <v>296</v>
      </c>
    </row>
    <row r="5" spans="1:4" x14ac:dyDescent="0.45">
      <c r="A5" s="10" t="s">
        <v>297</v>
      </c>
      <c r="B5" s="12">
        <f>COUNTIF('130-Day Plan'!H2:H131,"In Progress")</f>
        <v>0</v>
      </c>
      <c r="D5" s="13" t="s">
        <v>298</v>
      </c>
    </row>
    <row r="6" spans="1:4" x14ac:dyDescent="0.45">
      <c r="A6" s="10" t="s">
        <v>15</v>
      </c>
      <c r="B6" s="12">
        <f>COUNTIF('130-Day Plan'!H2:H131,"Not Started")</f>
        <v>119</v>
      </c>
    </row>
    <row r="7" spans="1:4" x14ac:dyDescent="0.45">
      <c r="A7" s="10" t="s">
        <v>299</v>
      </c>
      <c r="B7" s="12">
        <f>COUNTIF('130-Day Plan'!H2:H131,"Skipped")</f>
        <v>0</v>
      </c>
    </row>
    <row r="8" spans="1:4" x14ac:dyDescent="0.45">
      <c r="A8" s="10" t="s">
        <v>300</v>
      </c>
      <c r="B8" s="14">
        <f>B4/B3</f>
        <v>0</v>
      </c>
    </row>
    <row r="11" spans="1:4" x14ac:dyDescent="0.45">
      <c r="A11" s="10" t="s">
        <v>301</v>
      </c>
    </row>
    <row r="12" spans="1:4" x14ac:dyDescent="0.45">
      <c r="A12" s="12" t="s">
        <v>12</v>
      </c>
      <c r="B12" s="12">
        <f>COUNTIF('130-Day Plan'!D2:D131,"Easy")</f>
        <v>44</v>
      </c>
    </row>
    <row r="13" spans="1:4" x14ac:dyDescent="0.45">
      <c r="A13" s="12" t="s">
        <v>21</v>
      </c>
      <c r="B13" s="12">
        <f>COUNTIF('130-Day Plan'!D2:D131,"Medium")</f>
        <v>81</v>
      </c>
    </row>
    <row r="14" spans="1:4" x14ac:dyDescent="0.45">
      <c r="A14" s="12" t="s">
        <v>68</v>
      </c>
      <c r="B14" s="12">
        <f>COUNTIF('130-Day Plan'!D2:D131,"Hard")</f>
        <v>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130-Day Plan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Ajna Ashraf</cp:lastModifiedBy>
  <cp:revision>0</cp:revision>
  <dcterms:created xsi:type="dcterms:W3CDTF">2026-09-13T07:12:35Z</dcterms:created>
  <dcterms:modified xsi:type="dcterms:W3CDTF">2026-09-30T18:16:51Z</dcterms:modified>
  <dc:language>en-US</dc:language>
</cp:coreProperties>
</file>