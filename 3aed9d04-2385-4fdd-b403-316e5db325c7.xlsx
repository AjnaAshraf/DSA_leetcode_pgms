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30-Day Plan" sheetId="1" state="visible" r:id="rId3"/>
    <sheet name="Progress" sheetId="2" state="visible" r:id="rId4"/>
  </sheets>
  <definedNames>
    <definedName function="false" hidden="true" localSheetId="0" name="_xlnm._FilterDatabase" vbProcedure="false">'130-Day Plan'!$A$1:$J$131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<sst xmlns="http://schemas.openxmlformats.org/spreadsheetml/2006/main" count="806" uniqueCount="302">
  <si>
    <t xml:space="preserve">Day</t>
  </si>
  <si>
    <t xml:space="preserve">Pattern / Topic</t>
  </si>
  <si>
    <t xml:space="preserve">Problem</t>
  </si>
  <si>
    <t xml:space="preserve">Difficulty</t>
  </si>
  <si>
    <t xml:space="preserve">LeetCode Link</t>
  </si>
  <si>
    <t xml:space="preserve">Est. Time (min)</t>
  </si>
  <si>
    <t xml:space="preserve">Why this problem</t>
  </si>
  <si>
    <t xml:space="preserve">Status</t>
  </si>
  <si>
    <t xml:space="preserve">Notes</t>
  </si>
  <si>
    <t xml:space="preserve">Solution Gist Link</t>
  </si>
  <si>
    <t xml:space="preserve">Arrays &amp; Basics</t>
  </si>
  <si>
    <t xml:space="preserve">Two Sum</t>
  </si>
  <si>
    <t xml:space="preserve">Easy</t>
  </si>
  <si>
    <t xml:space="preserve">Open problem</t>
  </si>
  <si>
    <t xml:space="preserve">The classic first problem — hashmap for O(1) lookup</t>
  </si>
  <si>
    <t xml:space="preserve">Not Started</t>
  </si>
  <si>
    <t xml:space="preserve">Best Time to Buy and Sell Stock</t>
  </si>
  <si>
    <t xml:space="preserve">Track a running minimum while scanning once</t>
  </si>
  <si>
    <t xml:space="preserve">Contains Duplicate</t>
  </si>
  <si>
    <t xml:space="preserve">Set membership check, O(n) vs O(n^2)</t>
  </si>
  <si>
    <t xml:space="preserve">Maximum Subarray</t>
  </si>
  <si>
    <t xml:space="preserve">Medium</t>
  </si>
  <si>
    <t xml:space="preserve">Introduces Kadane's algorithm</t>
  </si>
  <si>
    <t xml:space="preserve">Move Zeroes</t>
  </si>
  <si>
    <t xml:space="preserve">In-place array rearrangement, two-pointer flavor</t>
  </si>
  <si>
    <t xml:space="preserve">Single Number</t>
  </si>
  <si>
    <t xml:space="preserve">XOR trick — fun 'aha' moment for beginners</t>
  </si>
  <si>
    <t xml:space="preserve">Majority Element</t>
  </si>
  <si>
    <t xml:space="preserve">Boyer-Moore voting, or simple hashmap counting</t>
  </si>
  <si>
    <t xml:space="preserve">Plus One</t>
  </si>
  <si>
    <t xml:space="preserve">Careful edge-case handling (carry-over digits)</t>
  </si>
  <si>
    <t xml:space="preserve">Remove Duplicates from Sorted Array</t>
  </si>
  <si>
    <t xml:space="preserve">In-place modification, sets up two-pointer thinking</t>
  </si>
  <si>
    <t xml:space="preserve">Merge Sorted Array</t>
  </si>
  <si>
    <t xml:space="preserve">Merge from the back — a neat trick worth teaching explicitly</t>
  </si>
  <si>
    <t xml:space="preserve">Two Pointers</t>
  </si>
  <si>
    <t xml:space="preserve">Valid Palindrome</t>
  </si>
  <si>
    <t xml:space="preserve">Pointers from both ends moving inward</t>
  </si>
  <si>
    <t xml:space="preserve">Reverse String</t>
  </si>
  <si>
    <t xml:space="preserve">Simplest possible two-pointer swap</t>
  </si>
  <si>
    <t xml:space="preserve">Two Sum II - Input Array Is Sorted</t>
  </si>
  <si>
    <t xml:space="preserve">Same problem as Day 1, new tool: sorted array + two pointers</t>
  </si>
  <si>
    <t xml:space="preserve">Remove Element</t>
  </si>
  <si>
    <t xml:space="preserve">In-place removal, overwrite-in-place pattern</t>
  </si>
  <si>
    <t xml:space="preserve">Squares of a Sorted Array</t>
  </si>
  <si>
    <t xml:space="preserve">Two pointers from outside-in due to negative numbers</t>
  </si>
  <si>
    <t xml:space="preserve">Sort Colors</t>
  </si>
  <si>
    <t xml:space="preserve">Dutch National Flag — three-pointer partitioning</t>
  </si>
  <si>
    <t xml:space="preserve">3Sum</t>
  </si>
  <si>
    <t xml:space="preserve">Fix one element, two-pointer the rest — very common interview Q</t>
  </si>
  <si>
    <t xml:space="preserve">Container With Most Water</t>
  </si>
  <si>
    <t xml:space="preserve">Greedy pointer movement based on height comparison</t>
  </si>
  <si>
    <t xml:space="preserve">Sliding Window</t>
  </si>
  <si>
    <t xml:space="preserve">Maximum Average Subarray I</t>
  </si>
  <si>
    <t xml:space="preserve">Fixed-size window — the simplest sliding window</t>
  </si>
  <si>
    <t xml:space="preserve">Longest Substring Without Repeating Characters</t>
  </si>
  <si>
    <t xml:space="preserve">Variable-size window with a hashset</t>
  </si>
  <si>
    <t xml:space="preserve">Minimum Size Subarray Sum</t>
  </si>
  <si>
    <t xml:space="preserve">Shrink-the-window-when-valid pattern</t>
  </si>
  <si>
    <t xml:space="preserve">Fruit Into Baskets</t>
  </si>
  <si>
    <t xml:space="preserve">Window with at-most-2-distinct-types constraint</t>
  </si>
  <si>
    <t xml:space="preserve">Longest Repeating Character Replacement</t>
  </si>
  <si>
    <t xml:space="preserve">Window + frequency count + a replacement budget</t>
  </si>
  <si>
    <t xml:space="preserve">Find All Anagrams in a String</t>
  </si>
  <si>
    <t xml:space="preserve">Fixed window + character frequency matching</t>
  </si>
  <si>
    <t xml:space="preserve">Permutation in String</t>
  </si>
  <si>
    <t xml:space="preserve">Same idea as previous day, different question shape</t>
  </si>
  <si>
    <t xml:space="preserve">Sliding Window Maximum</t>
  </si>
  <si>
    <t xml:space="preserve">Hard</t>
  </si>
  <si>
    <t xml:space="preserve">Stretch problem: monotonic deque — optional, but a great 'aha'</t>
  </si>
  <si>
    <t xml:space="preserve">Hashing</t>
  </si>
  <si>
    <t xml:space="preserve">Valid Anagram</t>
  </si>
  <si>
    <t xml:space="preserve">Character frequency counting with a hashmap</t>
  </si>
  <si>
    <t xml:space="preserve">Group Anagrams</t>
  </si>
  <si>
    <t xml:space="preserve">Use a sorted string (or count tuple) as a hashmap key</t>
  </si>
  <si>
    <t xml:space="preserve">Top K Frequent Elements</t>
  </si>
  <si>
    <t xml:space="preserve">Hashmap counting + bucket sort or heap</t>
  </si>
  <si>
    <t xml:space="preserve">Product of Array Except Self</t>
  </si>
  <si>
    <t xml:space="preserve">Prefix and suffix products without division</t>
  </si>
  <si>
    <t xml:space="preserve">Longest Consecutive Sequence</t>
  </si>
  <si>
    <t xml:space="preserve">Hashset trick to get O(n) instead of sorting</t>
  </si>
  <si>
    <t xml:space="preserve">Isomorphic Strings</t>
  </si>
  <si>
    <t xml:space="preserve">Two-way character mapping with two hashmaps</t>
  </si>
  <si>
    <t xml:space="preserve">Word Pattern</t>
  </si>
  <si>
    <t xml:space="preserve">Same idea as previous day, words instead of characters</t>
  </si>
  <si>
    <t xml:space="preserve">Ransom Note</t>
  </si>
  <si>
    <t xml:space="preserve">Simple frequency-count comparison</t>
  </si>
  <si>
    <t xml:space="preserve">Strings</t>
  </si>
  <si>
    <t xml:space="preserve">Valid Parentheses</t>
  </si>
  <si>
    <t xml:space="preserve">Stack basics disguised as a string problem</t>
  </si>
  <si>
    <t xml:space="preserve">Find the Index of the First Occurrence in a String</t>
  </si>
  <si>
    <t xml:space="preserve">Classic strStr() — brute-force substring search</t>
  </si>
  <si>
    <t xml:space="preserve">Longest Common Prefix</t>
  </si>
  <si>
    <t xml:space="preserve">Compare characters column by column across strings</t>
  </si>
  <si>
    <t xml:space="preserve">Reverse Words in a String</t>
  </si>
  <si>
    <t xml:space="preserve">String splitting, trimming, and reassembly</t>
  </si>
  <si>
    <t xml:space="preserve">String Compression</t>
  </si>
  <si>
    <t xml:space="preserve">In-place string building with a write pointer</t>
  </si>
  <si>
    <t xml:space="preserve">Roman to Integer</t>
  </si>
  <si>
    <t xml:space="preserve">Hashmap + a subtraction special case</t>
  </si>
  <si>
    <t xml:space="preserve">Integer to Roman</t>
  </si>
  <si>
    <t xml:space="preserve">Reverse direction of the previous day's problem</t>
  </si>
  <si>
    <t xml:space="preserve">Zigzag Conversion</t>
  </si>
  <si>
    <t xml:space="preserve">Simulate the zigzag with row buffers — visual, fun to trace on paper</t>
  </si>
  <si>
    <t xml:space="preserve">Linked Lists</t>
  </si>
  <si>
    <t xml:space="preserve">Reverse Linked List</t>
  </si>
  <si>
    <t xml:space="preserve">THE linked-list problem everyone must know cold</t>
  </si>
  <si>
    <t xml:space="preserve">Merge Two Sorted Lists</t>
  </si>
  <si>
    <t xml:space="preserve">Dummy-head technique — introduce it here, reuse it forever</t>
  </si>
  <si>
    <t xml:space="preserve">Linked List Cycle</t>
  </si>
  <si>
    <t xml:space="preserve">Floyd's slow/fast pointer (tortoise and hare)</t>
  </si>
  <si>
    <t xml:space="preserve">Middle of the Linked List</t>
  </si>
  <si>
    <t xml:space="preserve">Same slow/fast pointer trick, different goal</t>
  </si>
  <si>
    <t xml:space="preserve">Remove Linked List Elements</t>
  </si>
  <si>
    <t xml:space="preserve">Dummy head again, deleting nodes safely</t>
  </si>
  <si>
    <t xml:space="preserve">Palindrome Linked List</t>
  </si>
  <si>
    <t xml:space="preserve">Combine: find middle + reverse half + compare</t>
  </si>
  <si>
    <t xml:space="preserve">Remove Nth Node From End of List</t>
  </si>
  <si>
    <t xml:space="preserve">Two pointers with a fixed gap between them</t>
  </si>
  <si>
    <t xml:space="preserve">Add Two Numbers</t>
  </si>
  <si>
    <t xml:space="preserve">Digit-by-digit addition with carry, linked-list style</t>
  </si>
  <si>
    <t xml:space="preserve">Reorder List</t>
  </si>
  <si>
    <t xml:space="preserve">Combine: find middle + reverse half + merge/interleave</t>
  </si>
  <si>
    <t xml:space="preserve">Copy List with Random Pointer</t>
  </si>
  <si>
    <t xml:space="preserve">Hashmap to map old nodes to new ones</t>
  </si>
  <si>
    <t xml:space="preserve">Stacks &amp; Queues</t>
  </si>
  <si>
    <t xml:space="preserve">Min Stack</t>
  </si>
  <si>
    <t xml:space="preserve">Design a stack that also tracks its minimum in O(1)</t>
  </si>
  <si>
    <t xml:space="preserve">Implement Queue using Stacks</t>
  </si>
  <si>
    <t xml:space="preserve">Forces real understanding of stack vs queue order</t>
  </si>
  <si>
    <t xml:space="preserve">Implement Stack using Queues</t>
  </si>
  <si>
    <t xml:space="preserve">The mirror-image of the previous day</t>
  </si>
  <si>
    <t xml:space="preserve">Evaluate Reverse Polish Notation</t>
  </si>
  <si>
    <t xml:space="preserve">Classic stack-based expression evaluation</t>
  </si>
  <si>
    <t xml:space="preserve">Daily Temperatures</t>
  </si>
  <si>
    <t xml:space="preserve">Introduces the monotonic stack pattern</t>
  </si>
  <si>
    <t xml:space="preserve">Next Greater Element I</t>
  </si>
  <si>
    <t xml:space="preserve">Same monotonic stack idea, simpler shape</t>
  </si>
  <si>
    <t xml:space="preserve">Design Circular Queue</t>
  </si>
  <si>
    <t xml:space="preserve">Array-backed queue with wraparound indices</t>
  </si>
  <si>
    <t xml:space="preserve">Asteroid Collision</t>
  </si>
  <si>
    <t xml:space="preserve">Stack simulation with directional collision rules</t>
  </si>
  <si>
    <t xml:space="preserve">Binary Search</t>
  </si>
  <si>
    <t xml:space="preserve">The template every later binary-search problem builds on</t>
  </si>
  <si>
    <t xml:space="preserve">Search Insert Position</t>
  </si>
  <si>
    <t xml:space="preserve">Same template, returns insertion point instead of -1</t>
  </si>
  <si>
    <t xml:space="preserve">First Bad Version</t>
  </si>
  <si>
    <t xml:space="preserve">Binary search on an API instead of an array</t>
  </si>
  <si>
    <t xml:space="preserve">Find Peak Element</t>
  </si>
  <si>
    <t xml:space="preserve">Binary search on a condition, not a sorted value</t>
  </si>
  <si>
    <t xml:space="preserve">Search in Rotated Sorted Array</t>
  </si>
  <si>
    <t xml:space="preserve">Decide which half is sorted at each step</t>
  </si>
  <si>
    <t xml:space="preserve">Find Minimum in Rotated Sorted Array</t>
  </si>
  <si>
    <t xml:space="preserve">Same rotated-array idea, simpler target</t>
  </si>
  <si>
    <t xml:space="preserve">Koko Eating Bananas</t>
  </si>
  <si>
    <t xml:space="preserve">Binary search on the ANSWER, not the array — a mindset shift</t>
  </si>
  <si>
    <t xml:space="preserve">Capacity To Ship Packages Within D Days</t>
  </si>
  <si>
    <t xml:space="preserve">Same 'binary search the answer' idea, harder framing</t>
  </si>
  <si>
    <t xml:space="preserve">Trees</t>
  </si>
  <si>
    <t xml:space="preserve">Maximum Depth of Binary Tree</t>
  </si>
  <si>
    <t xml:space="preserve">The 'hello world' of recursive tree problems</t>
  </si>
  <si>
    <t xml:space="preserve">Invert Binary Tree</t>
  </si>
  <si>
    <t xml:space="preserve">Simple recursive swap — satisfying to visualize</t>
  </si>
  <si>
    <t xml:space="preserve">Same Tree</t>
  </si>
  <si>
    <t xml:space="preserve">Recursive structural comparison</t>
  </si>
  <si>
    <t xml:space="preserve">Symmetric Tree</t>
  </si>
  <si>
    <t xml:space="preserve">Compare a tree against its own mirror</t>
  </si>
  <si>
    <t xml:space="preserve">Binary Tree Level Order Traversal</t>
  </si>
  <si>
    <t xml:space="preserve">First real BFS-on-a-tree problem, using a queue</t>
  </si>
  <si>
    <t xml:space="preserve">Balanced Binary Tree</t>
  </si>
  <si>
    <t xml:space="preserve">Recursion that returns height AND a validity flag</t>
  </si>
  <si>
    <t xml:space="preserve">Diameter of Binary Tree</t>
  </si>
  <si>
    <t xml:space="preserve">Track a running answer during a height recursion</t>
  </si>
  <si>
    <t xml:space="preserve">Path Sum</t>
  </si>
  <si>
    <t xml:space="preserve">Root-to-leaf recursion with a running total</t>
  </si>
  <si>
    <t xml:space="preserve">Lowest Common Ancestor of a Binary Search Tree</t>
  </si>
  <si>
    <t xml:space="preserve">Use BST ordering to skip half the tree each step</t>
  </si>
  <si>
    <t xml:space="preserve">Validate Binary Search Tree</t>
  </si>
  <si>
    <t xml:space="preserve">Recursion with a valid (min, max) range passed down</t>
  </si>
  <si>
    <t xml:space="preserve">Binary Tree Right Side View</t>
  </si>
  <si>
    <t xml:space="preserve">BFS level-order, keep only the last node per level</t>
  </si>
  <si>
    <t xml:space="preserve">Kth Smallest Element in a BST</t>
  </si>
  <si>
    <t xml:space="preserve">In-order traversal gives sorted order for free</t>
  </si>
  <si>
    <t xml:space="preserve">Graphs (BFS/DFS)</t>
  </si>
  <si>
    <t xml:space="preserve">Number of Islands</t>
  </si>
  <si>
    <t xml:space="preserve">THE grid-graph problem — DFS/BFS flood fill</t>
  </si>
  <si>
    <t xml:space="preserve">Flood Fill</t>
  </si>
  <si>
    <t xml:space="preserve">Same flood-fill idea, simpler framing — good warm-up</t>
  </si>
  <si>
    <t xml:space="preserve">Max Area of Island</t>
  </si>
  <si>
    <t xml:space="preserve">Same traversal, now counting cells instead of islands</t>
  </si>
  <si>
    <t xml:space="preserve">Clone Graph</t>
  </si>
  <si>
    <t xml:space="preserve">DFS/BFS + hashmap to avoid cloning nodes twice</t>
  </si>
  <si>
    <t xml:space="preserve">Course Schedule</t>
  </si>
  <si>
    <t xml:space="preserve">Cycle detection in a directed graph (topological sort intro)</t>
  </si>
  <si>
    <t xml:space="preserve">Rotting Oranges</t>
  </si>
  <si>
    <t xml:space="preserve">Multi-source BFS — start from many points at once</t>
  </si>
  <si>
    <t xml:space="preserve">Pacific Atlantic Water Flow</t>
  </si>
  <si>
    <t xml:space="preserve">DFS from the borders inward, then intersect results</t>
  </si>
  <si>
    <t xml:space="preserve">Word Search</t>
  </si>
  <si>
    <t xml:space="preserve">DFS with backtracking on a grid</t>
  </si>
  <si>
    <t xml:space="preserve">Surrounded Regions</t>
  </si>
  <si>
    <t xml:space="preserve">DFS from the border to mark what should survive</t>
  </si>
  <si>
    <t xml:space="preserve">Is Graph Bipartite?</t>
  </si>
  <si>
    <t xml:space="preserve">Two-coloring a graph via BFS/DFS</t>
  </si>
  <si>
    <t xml:space="preserve">Recursion &amp; Backtracking</t>
  </si>
  <si>
    <t xml:space="preserve">Subsets</t>
  </si>
  <si>
    <t xml:space="preserve">The backtracking template: include/exclude each element</t>
  </si>
  <si>
    <t xml:space="preserve">Permutations</t>
  </si>
  <si>
    <t xml:space="preserve">Backtracking with a 'used' tracker</t>
  </si>
  <si>
    <t xml:space="preserve">Combinations</t>
  </si>
  <si>
    <t xml:space="preserve">Backtracking with a start-index to avoid duplicates</t>
  </si>
  <si>
    <t xml:space="preserve">Combination Sum</t>
  </si>
  <si>
    <t xml:space="preserve">Backtracking where the same number can repeat</t>
  </si>
  <si>
    <t xml:space="preserve">Letter Combinations of a Phone Number</t>
  </si>
  <si>
    <t xml:space="preserve">Backtracking over a mapping instead of a single array</t>
  </si>
  <si>
    <t xml:space="preserve">Generate Parentheses</t>
  </si>
  <si>
    <t xml:space="preserve">Backtracking with two constraints (open/close counts)</t>
  </si>
  <si>
    <t xml:space="preserve">Palindrome Partitioning</t>
  </si>
  <si>
    <t xml:space="preserve">Backtracking + a palindrome check at each branch</t>
  </si>
  <si>
    <t xml:space="preserve">N-Queens</t>
  </si>
  <si>
    <t xml:space="preserve">Stretch problem — the 'boss level' of backtracking</t>
  </si>
  <si>
    <t xml:space="preserve">Dynamic Programming (1D)</t>
  </si>
  <si>
    <t xml:space="preserve">Climbing Stairs</t>
  </si>
  <si>
    <t xml:space="preserve">Fibonacci in disguise — the gentlest DP intro possible</t>
  </si>
  <si>
    <t xml:space="preserve">House Robber</t>
  </si>
  <si>
    <t xml:space="preserve">DP with a 'take it or skip it' choice at each step</t>
  </si>
  <si>
    <t xml:space="preserve">House Robber II</t>
  </si>
  <si>
    <t xml:space="preserve">Same idea, now on a circular street</t>
  </si>
  <si>
    <t xml:space="preserve">Longest Increasing Subsequence</t>
  </si>
  <si>
    <t xml:space="preserve">Classic O(n^2) DP, can mention O(n log n) as a stretch</t>
  </si>
  <si>
    <t xml:space="preserve">Coin Change</t>
  </si>
  <si>
    <t xml:space="preserve">Bottom-up DP building up from amount 0</t>
  </si>
  <si>
    <t xml:space="preserve">Maximum Product Subarray</t>
  </si>
  <si>
    <t xml:space="preserve">Track running max AND min (negatives flip things)</t>
  </si>
  <si>
    <t xml:space="preserve">Word Break</t>
  </si>
  <si>
    <t xml:space="preserve">DP over string prefixes with a dictionary check</t>
  </si>
  <si>
    <t xml:space="preserve">Decode Ways</t>
  </si>
  <si>
    <t xml:space="preserve">DP with a one-or-two-digit branching choice</t>
  </si>
  <si>
    <t xml:space="preserve">Partition Equal Subset Sum</t>
  </si>
  <si>
    <t xml:space="preserve">Subset-sum DP — a very common interview variant</t>
  </si>
  <si>
    <t xml:space="preserve">Combination Sum IV</t>
  </si>
  <si>
    <t xml:space="preserve">DP version of a backtracking problem from Day 91-98</t>
  </si>
  <si>
    <t xml:space="preserve">Dynamic Programming (2D/Grids)</t>
  </si>
  <si>
    <t xml:space="preserve">Unique Paths</t>
  </si>
  <si>
    <t xml:space="preserve">Simplest 2D grid DP — count paths, no obstacles</t>
  </si>
  <si>
    <t xml:space="preserve">Minimum Path Sum</t>
  </si>
  <si>
    <t xml:space="preserve">Same grid, now minimizing a cost instead of counting</t>
  </si>
  <si>
    <t xml:space="preserve">Triangle</t>
  </si>
  <si>
    <t xml:space="preserve">Bottom-up DP over a triangular grid</t>
  </si>
  <si>
    <t xml:space="preserve">Longest Common Subsequence</t>
  </si>
  <si>
    <t xml:space="preserve">The template 2D string-vs-string DP problem</t>
  </si>
  <si>
    <t xml:space="preserve">Maximal Square</t>
  </si>
  <si>
    <t xml:space="preserve">2D DP where each cell depends on 3 neighbors</t>
  </si>
  <si>
    <t xml:space="preserve">Target Sum</t>
  </si>
  <si>
    <t xml:space="preserve">DP reframed as a subset-sum counting problem</t>
  </si>
  <si>
    <t xml:space="preserve">Interleaving String</t>
  </si>
  <si>
    <t xml:space="preserve">2D DP tracking two string pointers at once</t>
  </si>
  <si>
    <t xml:space="preserve">Edit Distance</t>
  </si>
  <si>
    <t xml:space="preserve">Stretch problem — the 'boss level' of string DP</t>
  </si>
  <si>
    <t xml:space="preserve">Heaps / Priority Queue</t>
  </si>
  <si>
    <t xml:space="preserve">Kth Largest Element in an Array</t>
  </si>
  <si>
    <t xml:space="preserve">Min-heap of size k — a reusable trick</t>
  </si>
  <si>
    <t xml:space="preserve">Last Stone Weight</t>
  </si>
  <si>
    <t xml:space="preserve">Max-heap simulation, straightforward warm-up</t>
  </si>
  <si>
    <t xml:space="preserve">K Closest Points to Origin</t>
  </si>
  <si>
    <t xml:space="preserve">Same size-k heap trick, different comparison key</t>
  </si>
  <si>
    <t xml:space="preserve">Top K Frequent Words</t>
  </si>
  <si>
    <t xml:space="preserve">Heap with a custom tie-breaking comparator</t>
  </si>
  <si>
    <t xml:space="preserve">Task Scheduler</t>
  </si>
  <si>
    <t xml:space="preserve">Max-heap + cooldown counting — a fun simulation problem</t>
  </si>
  <si>
    <t xml:space="preserve">Find Median from Data Stream</t>
  </si>
  <si>
    <t xml:space="preserve">Stretch problem — two heaps balancing each other</t>
  </si>
  <si>
    <t xml:space="preserve">Greedy</t>
  </si>
  <si>
    <t xml:space="preserve">Jump Game</t>
  </si>
  <si>
    <t xml:space="preserve">Track the farthest reachable index greedily</t>
  </si>
  <si>
    <t xml:space="preserve">Gas Station</t>
  </si>
  <si>
    <t xml:space="preserve">A greedy proof that feels almost like magic the first time</t>
  </si>
  <si>
    <t xml:space="preserve">Insert Interval</t>
  </si>
  <si>
    <t xml:space="preserve">Merge a new interval into an already-sorted list</t>
  </si>
  <si>
    <t xml:space="preserve">Merge Intervals</t>
  </si>
  <si>
    <t xml:space="preserve">Sort first, then greedily merge overlaps</t>
  </si>
  <si>
    <t xml:space="preserve">Non-overlapping Intervals</t>
  </si>
  <si>
    <t xml:space="preserve">Greedy interval scheduling by earliest end time</t>
  </si>
  <si>
    <t xml:space="preserve">Capstone (Mixed Patterns)</t>
  </si>
  <si>
    <t xml:space="preserve">LRU Cache</t>
  </si>
  <si>
    <t xml:space="preserve">Ties back to your OOP design checkpoint — hashmap + ordered structure</t>
  </si>
  <si>
    <t xml:space="preserve">Implement Trie (Prefix Tree)</t>
  </si>
  <si>
    <t xml:space="preserve">A new data structure built entirely from what you already know: nodes + hashmaps</t>
  </si>
  <si>
    <t xml:space="preserve">Merge k Sorted Lists</t>
  </si>
  <si>
    <t xml:space="preserve">Grand finale: heaps + linked lists + merging, all in one problem</t>
  </si>
  <si>
    <t xml:space="preserve">130-Day LeetCode Plan — Progress Tracker</t>
  </si>
  <si>
    <t xml:space="preserve">Legend</t>
  </si>
  <si>
    <t xml:space="preserve">Yellow cells on '130-Day Plan' are for students to fill in.</t>
  </si>
  <si>
    <t xml:space="preserve">Total Problems</t>
  </si>
  <si>
    <t xml:space="preserve">Status: pick from the dropdown (Not Started / In Progress / Done / Skipped).</t>
  </si>
  <si>
    <t xml:space="preserve">Done</t>
  </si>
  <si>
    <t xml:space="preserve">Solution Gist Link: paste your GitHub Gist URL for that day's solution.</t>
  </si>
  <si>
    <t xml:space="preserve">In Progress</t>
  </si>
  <si>
    <t xml:space="preserve">Example: https://gist.github.com/your-username/abc123def456</t>
  </si>
  <si>
    <t xml:space="preserve">Skipped</t>
  </si>
  <si>
    <t xml:space="preserve">% Complete</t>
  </si>
  <si>
    <t xml:space="preserve">Difficulty Breakdown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</si>
</sst>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6100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9C6500"/>
      <name val="Arial"/>
      <family val="0"/>
      <charset val="1"/>
    </font>
    <font>
      <sz val="11"/>
      <color rgb="FF9C0006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leetcode.com/problems/two-sum/" TargetMode="External"/><Relationship Id="rId3" Type="http://schemas.openxmlformats.org/officeDocument/2006/relationships/hyperlink" Target="https://leetcode.com/problems/best-time-to-buy-and-sell-stock/" TargetMode="External"/><Relationship Id="rId4" Type="http://schemas.openxmlformats.org/officeDocument/2006/relationships/hyperlink" Target="https://leetcode.com/problems/contains-duplicate/" TargetMode="External"/><Relationship Id="rId5" Type="http://schemas.openxmlformats.org/officeDocument/2006/relationships/hyperlink" Target="https://leetcode.com/problems/maximum-subarray/" TargetMode="External"/><Relationship Id="rId6" Type="http://schemas.openxmlformats.org/officeDocument/2006/relationships/hyperlink" Target="https://leetcode.com/problems/move-zeroes/" TargetMode="External"/><Relationship Id="rId7" Type="http://schemas.openxmlformats.org/officeDocument/2006/relationships/hyperlink" Target="https://leetcode.com/problems/single-number/" TargetMode="External"/><Relationship Id="rId8" Type="http://schemas.openxmlformats.org/officeDocument/2006/relationships/hyperlink" Target="https://leetcode.com/problems/majority-element/" TargetMode="External"/><Relationship Id="rId9" Type="http://schemas.openxmlformats.org/officeDocument/2006/relationships/hyperlink" Target="https://leetcode.com/problems/plus-one/" TargetMode="External"/><Relationship Id="rId10" Type="http://schemas.openxmlformats.org/officeDocument/2006/relationships/hyperlink" Target="https://leetcode.com/problems/remove-duplicates-from-sorted-array/" TargetMode="External"/><Relationship Id="rId11" Type="http://schemas.openxmlformats.org/officeDocument/2006/relationships/hyperlink" Target="https://leetcode.com/problems/merge-sorted-array/" TargetMode="External"/><Relationship Id="rId12" Type="http://schemas.openxmlformats.org/officeDocument/2006/relationships/hyperlink" Target="https://leetcode.com/problems/valid-palindrome/" TargetMode="External"/><Relationship Id="rId13" Type="http://schemas.openxmlformats.org/officeDocument/2006/relationships/hyperlink" Target="https://leetcode.com/problems/reverse-string/" TargetMode="External"/><Relationship Id="rId14" Type="http://schemas.openxmlformats.org/officeDocument/2006/relationships/hyperlink" Target="https://leetcode.com/problems/two-sum-ii-input-array-is-sorted/" TargetMode="External"/><Relationship Id="rId15" Type="http://schemas.openxmlformats.org/officeDocument/2006/relationships/hyperlink" Target="https://leetcode.com/problems/remove-element/" TargetMode="External"/><Relationship Id="rId16" Type="http://schemas.openxmlformats.org/officeDocument/2006/relationships/hyperlink" Target="https://leetcode.com/problems/squares-of-a-sorted-array/" TargetMode="External"/><Relationship Id="rId17" Type="http://schemas.openxmlformats.org/officeDocument/2006/relationships/hyperlink" Target="https://leetcode.com/problems/sort-colors/" TargetMode="External"/><Relationship Id="rId18" Type="http://schemas.openxmlformats.org/officeDocument/2006/relationships/hyperlink" Target="https://leetcode.com/problems/3sum/" TargetMode="External"/><Relationship Id="rId19" Type="http://schemas.openxmlformats.org/officeDocument/2006/relationships/hyperlink" Target="https://leetcode.com/problems/container-with-most-water/" TargetMode="External"/><Relationship Id="rId20" Type="http://schemas.openxmlformats.org/officeDocument/2006/relationships/hyperlink" Target="https://leetcode.com/problems/maximum-average-subarray-i/" TargetMode="External"/><Relationship Id="rId21" Type="http://schemas.openxmlformats.org/officeDocument/2006/relationships/hyperlink" Target="https://leetcode.com/problems/longest-substring-without-repeating-characters/" TargetMode="External"/><Relationship Id="rId22" Type="http://schemas.openxmlformats.org/officeDocument/2006/relationships/hyperlink" Target="https://leetcode.com/problems/minimum-size-subarray-sum/" TargetMode="External"/><Relationship Id="rId23" Type="http://schemas.openxmlformats.org/officeDocument/2006/relationships/hyperlink" Target="https://leetcode.com/problems/fruit-into-baskets/" TargetMode="External"/><Relationship Id="rId24" Type="http://schemas.openxmlformats.org/officeDocument/2006/relationships/hyperlink" Target="https://leetcode.com/problems/longest-repeating-character-replacement/" TargetMode="External"/><Relationship Id="rId25" Type="http://schemas.openxmlformats.org/officeDocument/2006/relationships/hyperlink" Target="https://leetcode.com/problems/find-all-anagrams-in-a-string/" TargetMode="External"/><Relationship Id="rId26" Type="http://schemas.openxmlformats.org/officeDocument/2006/relationships/hyperlink" Target="https://leetcode.com/problems/permutation-in-string/" TargetMode="External"/><Relationship Id="rId27" Type="http://schemas.openxmlformats.org/officeDocument/2006/relationships/hyperlink" Target="https://leetcode.com/problems/sliding-window-maximum/" TargetMode="External"/><Relationship Id="rId28" Type="http://schemas.openxmlformats.org/officeDocument/2006/relationships/hyperlink" Target="https://leetcode.com/problems/valid-anagram/" TargetMode="External"/><Relationship Id="rId29" Type="http://schemas.openxmlformats.org/officeDocument/2006/relationships/hyperlink" Target="https://leetcode.com/problems/group-anagrams/" TargetMode="External"/><Relationship Id="rId30" Type="http://schemas.openxmlformats.org/officeDocument/2006/relationships/hyperlink" Target="https://leetcode.com/problems/top-k-frequent-elements/" TargetMode="External"/><Relationship Id="rId31" Type="http://schemas.openxmlformats.org/officeDocument/2006/relationships/hyperlink" Target="https://leetcode.com/problems/product-of-array-except-self/" TargetMode="External"/><Relationship Id="rId32" Type="http://schemas.openxmlformats.org/officeDocument/2006/relationships/hyperlink" Target="https://leetcode.com/problems/longest-consecutive-sequence/" TargetMode="External"/><Relationship Id="rId33" Type="http://schemas.openxmlformats.org/officeDocument/2006/relationships/hyperlink" Target="https://leetcode.com/problems/isomorphic-strings/" TargetMode="External"/><Relationship Id="rId34" Type="http://schemas.openxmlformats.org/officeDocument/2006/relationships/hyperlink" Target="https://leetcode.com/problems/word-pattern/" TargetMode="External"/><Relationship Id="rId35" Type="http://schemas.openxmlformats.org/officeDocument/2006/relationships/hyperlink" Target="https://leetcode.com/problems/ransom-note/" TargetMode="External"/><Relationship Id="rId36" Type="http://schemas.openxmlformats.org/officeDocument/2006/relationships/hyperlink" Target="https://leetcode.com/problems/valid-parentheses/" TargetMode="External"/><Relationship Id="rId37" Type="http://schemas.openxmlformats.org/officeDocument/2006/relationships/hyperlink" Target="https://leetcode.com/problems/find-the-index-of-the-first-occurrence-in-a-string/" TargetMode="External"/><Relationship Id="rId38" Type="http://schemas.openxmlformats.org/officeDocument/2006/relationships/hyperlink" Target="https://leetcode.com/problems/longest-common-prefix/" TargetMode="External"/><Relationship Id="rId39" Type="http://schemas.openxmlformats.org/officeDocument/2006/relationships/hyperlink" Target="https://leetcode.com/problems/reverse-words-in-a-string/" TargetMode="External"/><Relationship Id="rId40" Type="http://schemas.openxmlformats.org/officeDocument/2006/relationships/hyperlink" Target="https://leetcode.com/problems/string-compression/" TargetMode="External"/><Relationship Id="rId41" Type="http://schemas.openxmlformats.org/officeDocument/2006/relationships/hyperlink" Target="https://leetcode.com/problems/roman-to-integer/" TargetMode="External"/><Relationship Id="rId42" Type="http://schemas.openxmlformats.org/officeDocument/2006/relationships/hyperlink" Target="https://leetcode.com/problems/integer-to-roman/" TargetMode="External"/><Relationship Id="rId43" Type="http://schemas.openxmlformats.org/officeDocument/2006/relationships/hyperlink" Target="https://leetcode.com/problems/zigzag-conversion/" TargetMode="External"/><Relationship Id="rId44" Type="http://schemas.openxmlformats.org/officeDocument/2006/relationships/hyperlink" Target="https://leetcode.com/problems/reverse-linked-list/" TargetMode="External"/><Relationship Id="rId45" Type="http://schemas.openxmlformats.org/officeDocument/2006/relationships/hyperlink" Target="https://leetcode.com/problems/merge-two-sorted-lists/" TargetMode="External"/><Relationship Id="rId46" Type="http://schemas.openxmlformats.org/officeDocument/2006/relationships/hyperlink" Target="https://leetcode.com/problems/linked-list-cycle/" TargetMode="External"/><Relationship Id="rId47" Type="http://schemas.openxmlformats.org/officeDocument/2006/relationships/hyperlink" Target="https://leetcode.com/problems/middle-of-the-linked-list/" TargetMode="External"/><Relationship Id="rId48" Type="http://schemas.openxmlformats.org/officeDocument/2006/relationships/hyperlink" Target="https://leetcode.com/problems/remove-linked-list-elements/" TargetMode="External"/><Relationship Id="rId49" Type="http://schemas.openxmlformats.org/officeDocument/2006/relationships/hyperlink" Target="https://leetcode.com/problems/palindrome-linked-list/" TargetMode="External"/><Relationship Id="rId50" Type="http://schemas.openxmlformats.org/officeDocument/2006/relationships/hyperlink" Target="https://leetcode.com/problems/remove-nth-node-from-end-of-list/" TargetMode="External"/><Relationship Id="rId51" Type="http://schemas.openxmlformats.org/officeDocument/2006/relationships/hyperlink" Target="https://leetcode.com/problems/add-two-numbers/" TargetMode="External"/><Relationship Id="rId52" Type="http://schemas.openxmlformats.org/officeDocument/2006/relationships/hyperlink" Target="https://leetcode.com/problems/reorder-list/" TargetMode="External"/><Relationship Id="rId53" Type="http://schemas.openxmlformats.org/officeDocument/2006/relationships/hyperlink" Target="https://leetcode.com/problems/copy-list-with-random-pointer/" TargetMode="External"/><Relationship Id="rId54" Type="http://schemas.openxmlformats.org/officeDocument/2006/relationships/hyperlink" Target="https://leetcode.com/problems/min-stack/" TargetMode="External"/><Relationship Id="rId55" Type="http://schemas.openxmlformats.org/officeDocument/2006/relationships/hyperlink" Target="https://leetcode.com/problems/implement-queue-using-stacks/" TargetMode="External"/><Relationship Id="rId56" Type="http://schemas.openxmlformats.org/officeDocument/2006/relationships/hyperlink" Target="https://leetcode.com/problems/implement-stack-using-queues/" TargetMode="External"/><Relationship Id="rId57" Type="http://schemas.openxmlformats.org/officeDocument/2006/relationships/hyperlink" Target="https://leetcode.com/problems/evaluate-reverse-polish-notation/" TargetMode="External"/><Relationship Id="rId58" Type="http://schemas.openxmlformats.org/officeDocument/2006/relationships/hyperlink" Target="https://leetcode.com/problems/daily-temperatures/" TargetMode="External"/><Relationship Id="rId59" Type="http://schemas.openxmlformats.org/officeDocument/2006/relationships/hyperlink" Target="https://leetcode.com/problems/next-greater-element-i/" TargetMode="External"/><Relationship Id="rId60" Type="http://schemas.openxmlformats.org/officeDocument/2006/relationships/hyperlink" Target="https://leetcode.com/problems/design-circular-queue/" TargetMode="External"/><Relationship Id="rId61" Type="http://schemas.openxmlformats.org/officeDocument/2006/relationships/hyperlink" Target="https://leetcode.com/problems/asteroid-collision/" TargetMode="External"/><Relationship Id="rId62" Type="http://schemas.openxmlformats.org/officeDocument/2006/relationships/hyperlink" Target="https://leetcode.com/problems/binary-search/" TargetMode="External"/><Relationship Id="rId63" Type="http://schemas.openxmlformats.org/officeDocument/2006/relationships/hyperlink" Target="https://leetcode.com/problems/search-insert-position/" TargetMode="External"/><Relationship Id="rId64" Type="http://schemas.openxmlformats.org/officeDocument/2006/relationships/hyperlink" Target="https://leetcode.com/problems/first-bad-version/" TargetMode="External"/><Relationship Id="rId65" Type="http://schemas.openxmlformats.org/officeDocument/2006/relationships/hyperlink" Target="https://leetcode.com/problems/find-peak-element/" TargetMode="External"/><Relationship Id="rId66" Type="http://schemas.openxmlformats.org/officeDocument/2006/relationships/hyperlink" Target="https://leetcode.com/problems/search-in-rotated-sorted-array/" TargetMode="External"/><Relationship Id="rId67" Type="http://schemas.openxmlformats.org/officeDocument/2006/relationships/hyperlink" Target="https://leetcode.com/problems/find-minimum-in-rotated-sorted-array/" TargetMode="External"/><Relationship Id="rId68" Type="http://schemas.openxmlformats.org/officeDocument/2006/relationships/hyperlink" Target="https://leetcode.com/problems/koko-eating-bananas/" TargetMode="External"/><Relationship Id="rId69" Type="http://schemas.openxmlformats.org/officeDocument/2006/relationships/hyperlink" Target="https://leetcode.com/problems/capacity-to-ship-packages-within-d-days/" TargetMode="External"/><Relationship Id="rId70" Type="http://schemas.openxmlformats.org/officeDocument/2006/relationships/hyperlink" Target="https://leetcode.com/problems/maximum-depth-of-binary-tree/" TargetMode="External"/><Relationship Id="rId71" Type="http://schemas.openxmlformats.org/officeDocument/2006/relationships/hyperlink" Target="https://leetcode.com/problems/invert-binary-tree/" TargetMode="External"/><Relationship Id="rId72" Type="http://schemas.openxmlformats.org/officeDocument/2006/relationships/hyperlink" Target="https://leetcode.com/problems/same-tree/" TargetMode="External"/><Relationship Id="rId73" Type="http://schemas.openxmlformats.org/officeDocument/2006/relationships/hyperlink" Target="https://leetcode.com/problems/symmetric-tree/" TargetMode="External"/><Relationship Id="rId74" Type="http://schemas.openxmlformats.org/officeDocument/2006/relationships/hyperlink" Target="https://leetcode.com/problems/binary-tree-level-order-traversal/" TargetMode="External"/><Relationship Id="rId75" Type="http://schemas.openxmlformats.org/officeDocument/2006/relationships/hyperlink" Target="https://leetcode.com/problems/balanced-binary-tree/" TargetMode="External"/><Relationship Id="rId76" Type="http://schemas.openxmlformats.org/officeDocument/2006/relationships/hyperlink" Target="https://leetcode.com/problems/diameter-of-binary-tree/" TargetMode="External"/><Relationship Id="rId77" Type="http://schemas.openxmlformats.org/officeDocument/2006/relationships/hyperlink" Target="https://leetcode.com/problems/path-sum/" TargetMode="External"/><Relationship Id="rId78" Type="http://schemas.openxmlformats.org/officeDocument/2006/relationships/hyperlink" Target="https://leetcode.com/problems/lowest-common-ancestor-of-a-binary-search-tree/" TargetMode="External"/><Relationship Id="rId79" Type="http://schemas.openxmlformats.org/officeDocument/2006/relationships/hyperlink" Target="https://leetcode.com/problems/validate-binary-search-tree/" TargetMode="External"/><Relationship Id="rId80" Type="http://schemas.openxmlformats.org/officeDocument/2006/relationships/hyperlink" Target="https://leetcode.com/problems/binary-tree-right-side-view/" TargetMode="External"/><Relationship Id="rId81" Type="http://schemas.openxmlformats.org/officeDocument/2006/relationships/hyperlink" Target="https://leetcode.com/problems/kth-smallest-element-in-a-bst/" TargetMode="External"/><Relationship Id="rId82" Type="http://schemas.openxmlformats.org/officeDocument/2006/relationships/hyperlink" Target="https://leetcode.com/problems/number-of-islands/" TargetMode="External"/><Relationship Id="rId83" Type="http://schemas.openxmlformats.org/officeDocument/2006/relationships/hyperlink" Target="https://leetcode.com/problems/flood-fill/" TargetMode="External"/><Relationship Id="rId84" Type="http://schemas.openxmlformats.org/officeDocument/2006/relationships/hyperlink" Target="https://leetcode.com/problems/max-area-of-island/" TargetMode="External"/><Relationship Id="rId85" Type="http://schemas.openxmlformats.org/officeDocument/2006/relationships/hyperlink" Target="https://leetcode.com/problems/clone-graph/" TargetMode="External"/><Relationship Id="rId86" Type="http://schemas.openxmlformats.org/officeDocument/2006/relationships/hyperlink" Target="https://leetcode.com/problems/course-schedule/" TargetMode="External"/><Relationship Id="rId87" Type="http://schemas.openxmlformats.org/officeDocument/2006/relationships/hyperlink" Target="https://leetcode.com/problems/rotting-oranges/" TargetMode="External"/><Relationship Id="rId88" Type="http://schemas.openxmlformats.org/officeDocument/2006/relationships/hyperlink" Target="https://leetcode.com/problems/pacific-atlantic-water-flow/" TargetMode="External"/><Relationship Id="rId89" Type="http://schemas.openxmlformats.org/officeDocument/2006/relationships/hyperlink" Target="https://leetcode.com/problems/word-search/" TargetMode="External"/><Relationship Id="rId90" Type="http://schemas.openxmlformats.org/officeDocument/2006/relationships/hyperlink" Target="https://leetcode.com/problems/surrounded-regions/" TargetMode="External"/><Relationship Id="rId91" Type="http://schemas.openxmlformats.org/officeDocument/2006/relationships/hyperlink" Target="https://leetcode.com/problems/is-graph-bipartite/" TargetMode="External"/><Relationship Id="rId92" Type="http://schemas.openxmlformats.org/officeDocument/2006/relationships/hyperlink" Target="https://leetcode.com/problems/subsets/" TargetMode="External"/><Relationship Id="rId93" Type="http://schemas.openxmlformats.org/officeDocument/2006/relationships/hyperlink" Target="https://leetcode.com/problems/permutations/" TargetMode="External"/><Relationship Id="rId94" Type="http://schemas.openxmlformats.org/officeDocument/2006/relationships/hyperlink" Target="https://leetcode.com/problems/combinations/" TargetMode="External"/><Relationship Id="rId95" Type="http://schemas.openxmlformats.org/officeDocument/2006/relationships/hyperlink" Target="https://leetcode.com/problems/combination-sum/" TargetMode="External"/><Relationship Id="rId96" Type="http://schemas.openxmlformats.org/officeDocument/2006/relationships/hyperlink" Target="https://leetcode.com/problems/letter-combinations-of-a-phone-number/" TargetMode="External"/><Relationship Id="rId97" Type="http://schemas.openxmlformats.org/officeDocument/2006/relationships/hyperlink" Target="https://leetcode.com/problems/generate-parentheses/" TargetMode="External"/><Relationship Id="rId98" Type="http://schemas.openxmlformats.org/officeDocument/2006/relationships/hyperlink" Target="https://leetcode.com/problems/palindrome-partitioning/" TargetMode="External"/><Relationship Id="rId99" Type="http://schemas.openxmlformats.org/officeDocument/2006/relationships/hyperlink" Target="https://leetcode.com/problems/n-queens/" TargetMode="External"/><Relationship Id="rId100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/" TargetMode="External"/><Relationship Id="rId102" Type="http://schemas.openxmlformats.org/officeDocument/2006/relationships/hyperlink" Target="https://leetcode.com/problems/house-robber-ii/" TargetMode="External"/><Relationship Id="rId103" Type="http://schemas.openxmlformats.org/officeDocument/2006/relationships/hyperlink" Target="https://leetcode.com/problems/longest-increasing-subsequence/" TargetMode="External"/><Relationship Id="rId104" Type="http://schemas.openxmlformats.org/officeDocument/2006/relationships/hyperlink" Target="https://leetcode.com/problems/coin-change/" TargetMode="External"/><Relationship Id="rId105" Type="http://schemas.openxmlformats.org/officeDocument/2006/relationships/hyperlink" Target="https://leetcode.com/problems/maximum-product-subarray/" TargetMode="External"/><Relationship Id="rId106" Type="http://schemas.openxmlformats.org/officeDocument/2006/relationships/hyperlink" Target="https://leetcode.com/problems/word-break/" TargetMode="External"/><Relationship Id="rId107" Type="http://schemas.openxmlformats.org/officeDocument/2006/relationships/hyperlink" Target="https://leetcode.com/problems/decode-ways/" TargetMode="External"/><Relationship Id="rId108" Type="http://schemas.openxmlformats.org/officeDocument/2006/relationships/hyperlink" Target="https://leetcode.com/problems/partition-equal-subset-sum/" TargetMode="External"/><Relationship Id="rId109" Type="http://schemas.openxmlformats.org/officeDocument/2006/relationships/hyperlink" Target="https://leetcode.com/problems/combination-sum-iv/" TargetMode="External"/><Relationship Id="rId110" Type="http://schemas.openxmlformats.org/officeDocument/2006/relationships/hyperlink" Target="https://leetcode.com/problems/unique-paths/" TargetMode="External"/><Relationship Id="rId111" Type="http://schemas.openxmlformats.org/officeDocument/2006/relationships/hyperlink" Target="https://leetcode.com/problems/minimum-path-sum/" TargetMode="External"/><Relationship Id="rId112" Type="http://schemas.openxmlformats.org/officeDocument/2006/relationships/hyperlink" Target="https://leetcode.com/problems/triangle/" TargetMode="External"/><Relationship Id="rId113" Type="http://schemas.openxmlformats.org/officeDocument/2006/relationships/hyperlink" Target="https://leetcode.com/problems/longest-common-subsequence/" TargetMode="External"/><Relationship Id="rId114" Type="http://schemas.openxmlformats.org/officeDocument/2006/relationships/hyperlink" Target="https://leetcode.com/problems/maximal-square/" TargetMode="External"/><Relationship Id="rId115" Type="http://schemas.openxmlformats.org/officeDocument/2006/relationships/hyperlink" Target="https://leetcode.com/problems/target-sum/" TargetMode="External"/><Relationship Id="rId116" Type="http://schemas.openxmlformats.org/officeDocument/2006/relationships/hyperlink" Target="https://leetcode.com/problems/interleaving-string/" TargetMode="External"/><Relationship Id="rId117" Type="http://schemas.openxmlformats.org/officeDocument/2006/relationships/hyperlink" Target="https://leetcode.com/problems/edit-distance/" TargetMode="External"/><Relationship Id="rId118" Type="http://schemas.openxmlformats.org/officeDocument/2006/relationships/hyperlink" Target="https://leetcode.com/problems/kth-largest-element-in-an-array/" TargetMode="External"/><Relationship Id="rId119" Type="http://schemas.openxmlformats.org/officeDocument/2006/relationships/hyperlink" Target="https://leetcode.com/problems/last-stone-weight/" TargetMode="External"/><Relationship Id="rId120" Type="http://schemas.openxmlformats.org/officeDocument/2006/relationships/hyperlink" Target="https://leetcode.com/problems/k-closest-points-to-origin/" TargetMode="External"/><Relationship Id="rId121" Type="http://schemas.openxmlformats.org/officeDocument/2006/relationships/hyperlink" Target="https://leetcode.com/problems/top-k-frequent-words/" TargetMode="External"/><Relationship Id="rId122" Type="http://schemas.openxmlformats.org/officeDocument/2006/relationships/hyperlink" Target="https://leetcode.com/problems/task-scheduler/" TargetMode="External"/><Relationship Id="rId123" Type="http://schemas.openxmlformats.org/officeDocument/2006/relationships/hyperlink" Target="https://leetcode.com/problems/find-median-from-data-stream/" TargetMode="External"/><Relationship Id="rId124" Type="http://schemas.openxmlformats.org/officeDocument/2006/relationships/hyperlink" Target="https://leetcode.com/problems/jump-game/" TargetMode="External"/><Relationship Id="rId125" Type="http://schemas.openxmlformats.org/officeDocument/2006/relationships/hyperlink" Target="https://leetcode.com/problems/gas-station/" TargetMode="External"/><Relationship Id="rId126" Type="http://schemas.openxmlformats.org/officeDocument/2006/relationships/hyperlink" Target="https://leetcode.com/problems/insert-interval/" TargetMode="External"/><Relationship Id="rId127" Type="http://schemas.openxmlformats.org/officeDocument/2006/relationships/hyperlink" Target="https://leetcode.com/problems/merge-intervals/" TargetMode="External"/><Relationship Id="rId128" Type="http://schemas.openxmlformats.org/officeDocument/2006/relationships/hyperlink" Target="https://leetcode.com/problems/non-overlapping-intervals/" TargetMode="External"/><Relationship Id="rId129" Type="http://schemas.openxmlformats.org/officeDocument/2006/relationships/hyperlink" Target="https://leetcode.com/problems/lru-cache/" TargetMode="External"/><Relationship Id="rId130" Type="http://schemas.openxmlformats.org/officeDocument/2006/relationships/hyperlink" Target="https://leetcode.com/problems/implement-trie-prefix-tree/" TargetMode="External"/><Relationship Id="rId131" Type="http://schemas.openxmlformats.org/officeDocument/2006/relationships/hyperlink" Target="https://leetcode.com/problems/merge-k-sorted-lists/" TargetMode="External"/><Relationship Id="rId132" Type="http://schemas.openxmlformats.org/officeDocument/2006/relationships/drawing" Target="../drawings/drawing1.xml"/><Relationship Id="rId13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14"/>
    <col collapsed="false" customWidth="true" hidden="false" outlineLevel="0" max="9" min="9" style="0" width="24"/>
    <col collapsed="false" customWidth="true" hidden="false" outlineLevel="0" max="10" min="10" style="0" width="34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6.85" hidden="false" customHeight="false" outlineLevel="0" collapsed="false">
      <c r="A2" s="2" t="n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 t="n">
        <v>15</v>
      </c>
      <c r="G2" s="6" t="s">
        <v>14</v>
      </c>
      <c r="H2" s="7" t="s">
        <v>15</v>
      </c>
      <c r="I2" s="3"/>
      <c r="J2" s="7"/>
    </row>
    <row r="3" customFormat="false" ht="15" hidden="false" customHeight="false" outlineLevel="0" collapsed="false">
      <c r="A3" s="2" t="n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 t="n">
        <v>15</v>
      </c>
      <c r="G3" s="6" t="s">
        <v>17</v>
      </c>
      <c r="H3" s="7" t="s">
        <v>15</v>
      </c>
      <c r="I3" s="3"/>
      <c r="J3" s="7"/>
    </row>
    <row r="4" customFormat="false" ht="15" hidden="false" customHeight="false" outlineLevel="0" collapsed="false">
      <c r="A4" s="2" t="n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 t="n">
        <v>10</v>
      </c>
      <c r="G4" s="6" t="s">
        <v>19</v>
      </c>
      <c r="H4" s="7" t="s">
        <v>15</v>
      </c>
      <c r="I4" s="3"/>
      <c r="J4" s="7"/>
    </row>
    <row r="5" customFormat="false" ht="15" hidden="false" customHeight="false" outlineLevel="0" collapsed="false">
      <c r="A5" s="2" t="n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 t="n">
        <v>20</v>
      </c>
      <c r="G5" s="6" t="s">
        <v>22</v>
      </c>
      <c r="H5" s="7" t="s">
        <v>15</v>
      </c>
      <c r="I5" s="3"/>
      <c r="J5" s="7"/>
    </row>
    <row r="6" customFormat="false" ht="15" hidden="false" customHeight="false" outlineLevel="0" collapsed="false">
      <c r="A6" s="2" t="n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 t="n">
        <v>15</v>
      </c>
      <c r="G6" s="6" t="s">
        <v>24</v>
      </c>
      <c r="H6" s="7" t="s">
        <v>15</v>
      </c>
      <c r="I6" s="3"/>
      <c r="J6" s="7"/>
    </row>
    <row r="7" customFormat="false" ht="15" hidden="false" customHeight="false" outlineLevel="0" collapsed="false">
      <c r="A7" s="2" t="n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 t="n">
        <v>10</v>
      </c>
      <c r="G7" s="6" t="s">
        <v>26</v>
      </c>
      <c r="H7" s="7" t="s">
        <v>15</v>
      </c>
      <c r="I7" s="3"/>
      <c r="J7" s="7"/>
    </row>
    <row r="8" customFormat="false" ht="15" hidden="false" customHeight="false" outlineLevel="0" collapsed="false">
      <c r="A8" s="2" t="n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 t="n">
        <v>15</v>
      </c>
      <c r="G8" s="6" t="s">
        <v>28</v>
      </c>
      <c r="H8" s="7" t="s">
        <v>15</v>
      </c>
      <c r="I8" s="3"/>
      <c r="J8" s="7"/>
    </row>
    <row r="9" customFormat="false" ht="15" hidden="false" customHeight="false" outlineLevel="0" collapsed="false">
      <c r="A9" s="2" t="n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 t="n">
        <v>10</v>
      </c>
      <c r="G9" s="6" t="s">
        <v>30</v>
      </c>
      <c r="H9" s="7" t="s">
        <v>15</v>
      </c>
      <c r="I9" s="3"/>
      <c r="J9" s="7"/>
    </row>
    <row r="10" customFormat="false" ht="26.85" hidden="false" customHeight="false" outlineLevel="0" collapsed="false">
      <c r="A10" s="2" t="n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 t="n">
        <v>15</v>
      </c>
      <c r="G10" s="6" t="s">
        <v>32</v>
      </c>
      <c r="H10" s="7" t="s">
        <v>15</v>
      </c>
      <c r="I10" s="3"/>
      <c r="J10" s="7"/>
    </row>
    <row r="11" customFormat="false" ht="26.85" hidden="false" customHeight="false" outlineLevel="0" collapsed="false">
      <c r="A11" s="2" t="n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 t="n">
        <v>15</v>
      </c>
      <c r="G11" s="6" t="s">
        <v>34</v>
      </c>
      <c r="H11" s="7" t="s">
        <v>15</v>
      </c>
      <c r="I11" s="3"/>
      <c r="J11" s="7"/>
    </row>
    <row r="12" customFormat="false" ht="15" hidden="false" customHeight="false" outlineLevel="0" collapsed="false">
      <c r="A12" s="2" t="n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 t="n">
        <v>15</v>
      </c>
      <c r="G12" s="6" t="s">
        <v>37</v>
      </c>
      <c r="H12" s="7" t="s">
        <v>15</v>
      </c>
      <c r="I12" s="3"/>
      <c r="J12" s="7"/>
    </row>
    <row r="13" customFormat="false" ht="15" hidden="false" customHeight="false" outlineLevel="0" collapsed="false">
      <c r="A13" s="2" t="n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 t="n">
        <v>10</v>
      </c>
      <c r="G13" s="6" t="s">
        <v>39</v>
      </c>
      <c r="H13" s="7" t="s">
        <v>15</v>
      </c>
      <c r="I13" s="3"/>
      <c r="J13" s="7"/>
    </row>
    <row r="14" customFormat="false" ht="26.85" hidden="false" customHeight="false" outlineLevel="0" collapsed="false">
      <c r="A14" s="2" t="n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 t="n">
        <v>15</v>
      </c>
      <c r="G14" s="6" t="s">
        <v>41</v>
      </c>
      <c r="H14" s="7" t="s">
        <v>15</v>
      </c>
      <c r="I14" s="3"/>
      <c r="J14" s="7"/>
    </row>
    <row r="15" customFormat="false" ht="15" hidden="false" customHeight="false" outlineLevel="0" collapsed="false">
      <c r="A15" s="2" t="n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 t="n">
        <v>10</v>
      </c>
      <c r="G15" s="6" t="s">
        <v>43</v>
      </c>
      <c r="H15" s="7" t="s">
        <v>15</v>
      </c>
      <c r="I15" s="3"/>
      <c r="J15" s="7"/>
    </row>
    <row r="16" customFormat="false" ht="26.85" hidden="false" customHeight="false" outlineLevel="0" collapsed="false">
      <c r="A16" s="2" t="n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 t="n">
        <v>15</v>
      </c>
      <c r="G16" s="6" t="s">
        <v>45</v>
      </c>
      <c r="H16" s="7" t="s">
        <v>15</v>
      </c>
      <c r="I16" s="3"/>
      <c r="J16" s="7"/>
    </row>
    <row r="17" customFormat="false" ht="15" hidden="false" customHeight="false" outlineLevel="0" collapsed="false">
      <c r="A17" s="2" t="n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 t="n">
        <v>20</v>
      </c>
      <c r="G17" s="6" t="s">
        <v>47</v>
      </c>
      <c r="H17" s="7" t="s">
        <v>15</v>
      </c>
      <c r="I17" s="3"/>
      <c r="J17" s="7"/>
    </row>
    <row r="18" customFormat="false" ht="26.85" hidden="false" customHeight="false" outlineLevel="0" collapsed="false">
      <c r="A18" s="2" t="n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 t="n">
        <v>25</v>
      </c>
      <c r="G18" s="6" t="s">
        <v>49</v>
      </c>
      <c r="H18" s="7" t="s">
        <v>15</v>
      </c>
      <c r="I18" s="3"/>
      <c r="J18" s="7"/>
    </row>
    <row r="19" customFormat="false" ht="26.85" hidden="false" customHeight="false" outlineLevel="0" collapsed="false">
      <c r="A19" s="2" t="n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 t="n">
        <v>20</v>
      </c>
      <c r="G19" s="6" t="s">
        <v>51</v>
      </c>
      <c r="H19" s="7" t="s">
        <v>15</v>
      </c>
      <c r="I19" s="3"/>
      <c r="J19" s="7"/>
    </row>
    <row r="20" customFormat="false" ht="15" hidden="false" customHeight="false" outlineLevel="0" collapsed="false">
      <c r="A20" s="2" t="n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 t="n">
        <v>15</v>
      </c>
      <c r="G20" s="6" t="s">
        <v>54</v>
      </c>
      <c r="H20" s="7" t="s">
        <v>15</v>
      </c>
      <c r="I20" s="3"/>
      <c r="J20" s="7"/>
    </row>
    <row r="21" customFormat="false" ht="15" hidden="false" customHeight="false" outlineLevel="0" collapsed="false">
      <c r="A21" s="2" t="n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 t="n">
        <v>20</v>
      </c>
      <c r="G21" s="6" t="s">
        <v>56</v>
      </c>
      <c r="H21" s="7" t="s">
        <v>15</v>
      </c>
      <c r="I21" s="3"/>
      <c r="J21" s="7"/>
    </row>
    <row r="22" customFormat="false" ht="15" hidden="false" customHeight="false" outlineLevel="0" collapsed="false">
      <c r="A22" s="2" t="n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 t="n">
        <v>20</v>
      </c>
      <c r="G22" s="6" t="s">
        <v>58</v>
      </c>
      <c r="H22" s="7" t="s">
        <v>15</v>
      </c>
      <c r="I22" s="3"/>
      <c r="J22" s="7"/>
    </row>
    <row r="23" customFormat="false" ht="15" hidden="false" customHeight="false" outlineLevel="0" collapsed="false">
      <c r="A23" s="2" t="n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 t="n">
        <v>20</v>
      </c>
      <c r="G23" s="6" t="s">
        <v>60</v>
      </c>
      <c r="H23" s="7" t="s">
        <v>15</v>
      </c>
      <c r="I23" s="3"/>
      <c r="J23" s="7"/>
    </row>
    <row r="24" customFormat="false" ht="26.85" hidden="false" customHeight="false" outlineLevel="0" collapsed="false">
      <c r="A24" s="2" t="n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 t="n">
        <v>25</v>
      </c>
      <c r="G24" s="6" t="s">
        <v>62</v>
      </c>
      <c r="H24" s="7" t="s">
        <v>15</v>
      </c>
      <c r="I24" s="3"/>
      <c r="J24" s="7"/>
    </row>
    <row r="25" customFormat="false" ht="15" hidden="false" customHeight="false" outlineLevel="0" collapsed="false">
      <c r="A25" s="2" t="n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 t="n">
        <v>20</v>
      </c>
      <c r="G25" s="6" t="s">
        <v>64</v>
      </c>
      <c r="H25" s="7" t="s">
        <v>15</v>
      </c>
      <c r="I25" s="3"/>
      <c r="J25" s="7"/>
    </row>
    <row r="26" customFormat="false" ht="26.85" hidden="false" customHeight="false" outlineLevel="0" collapsed="false">
      <c r="A26" s="2" t="n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 t="n">
        <v>20</v>
      </c>
      <c r="G26" s="6" t="s">
        <v>66</v>
      </c>
      <c r="H26" s="7" t="s">
        <v>15</v>
      </c>
      <c r="I26" s="3"/>
      <c r="J26" s="7"/>
    </row>
    <row r="27" customFormat="false" ht="26.85" hidden="false" customHeight="false" outlineLevel="0" collapsed="false">
      <c r="A27" s="2" t="n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 t="n">
        <v>30</v>
      </c>
      <c r="G27" s="6" t="s">
        <v>69</v>
      </c>
      <c r="H27" s="7" t="s">
        <v>15</v>
      </c>
      <c r="I27" s="3"/>
      <c r="J27" s="7"/>
    </row>
    <row r="28" customFormat="false" ht="15" hidden="false" customHeight="false" outlineLevel="0" collapsed="false">
      <c r="A28" s="2" t="n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 t="n">
        <v>10</v>
      </c>
      <c r="G28" s="6" t="s">
        <v>72</v>
      </c>
      <c r="H28" s="7" t="s">
        <v>15</v>
      </c>
      <c r="I28" s="3"/>
      <c r="J28" s="7"/>
    </row>
    <row r="29" customFormat="false" ht="26.85" hidden="false" customHeight="false" outlineLevel="0" collapsed="false">
      <c r="A29" s="2" t="n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 t="n">
        <v>20</v>
      </c>
      <c r="G29" s="6" t="s">
        <v>74</v>
      </c>
      <c r="H29" s="7" t="s">
        <v>15</v>
      </c>
      <c r="I29" s="3"/>
      <c r="J29" s="7"/>
    </row>
    <row r="30" customFormat="false" ht="15" hidden="false" customHeight="false" outlineLevel="0" collapsed="false">
      <c r="A30" s="2" t="n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 t="n">
        <v>20</v>
      </c>
      <c r="G30" s="6" t="s">
        <v>76</v>
      </c>
      <c r="H30" s="7" t="s">
        <v>15</v>
      </c>
      <c r="I30" s="3"/>
      <c r="J30" s="7"/>
    </row>
    <row r="31" customFormat="false" ht="15" hidden="false" customHeight="false" outlineLevel="0" collapsed="false">
      <c r="A31" s="2" t="n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 t="n">
        <v>20</v>
      </c>
      <c r="G31" s="6" t="s">
        <v>78</v>
      </c>
      <c r="H31" s="7" t="s">
        <v>15</v>
      </c>
      <c r="I31" s="3"/>
      <c r="J31" s="7"/>
    </row>
    <row r="32" customFormat="false" ht="15" hidden="false" customHeight="false" outlineLevel="0" collapsed="false">
      <c r="A32" s="2" t="n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 t="n">
        <v>25</v>
      </c>
      <c r="G32" s="6" t="s">
        <v>80</v>
      </c>
      <c r="H32" s="7" t="s">
        <v>15</v>
      </c>
      <c r="I32" s="3"/>
      <c r="J32" s="7"/>
    </row>
    <row r="33" customFormat="false" ht="15" hidden="false" customHeight="false" outlineLevel="0" collapsed="false">
      <c r="A33" s="2" t="n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 t="n">
        <v>15</v>
      </c>
      <c r="G33" s="6" t="s">
        <v>82</v>
      </c>
      <c r="H33" s="7" t="s">
        <v>15</v>
      </c>
      <c r="I33" s="3"/>
      <c r="J33" s="7"/>
    </row>
    <row r="34" customFormat="false" ht="26.85" hidden="false" customHeight="false" outlineLevel="0" collapsed="false">
      <c r="A34" s="2" t="n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 t="n">
        <v>15</v>
      </c>
      <c r="G34" s="6" t="s">
        <v>84</v>
      </c>
      <c r="H34" s="7" t="s">
        <v>15</v>
      </c>
      <c r="I34" s="3"/>
      <c r="J34" s="7"/>
    </row>
    <row r="35" customFormat="false" ht="15" hidden="false" customHeight="false" outlineLevel="0" collapsed="false">
      <c r="A35" s="2" t="n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 t="n">
        <v>10</v>
      </c>
      <c r="G35" s="6" t="s">
        <v>86</v>
      </c>
      <c r="H35" s="7" t="s">
        <v>15</v>
      </c>
      <c r="I35" s="3"/>
      <c r="J35" s="7"/>
    </row>
    <row r="36" customFormat="false" ht="15" hidden="false" customHeight="false" outlineLevel="0" collapsed="false">
      <c r="A36" s="2" t="n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 t="n">
        <v>15</v>
      </c>
      <c r="G36" s="6" t="s">
        <v>89</v>
      </c>
      <c r="H36" s="7" t="s">
        <v>15</v>
      </c>
      <c r="I36" s="3"/>
      <c r="J36" s="7"/>
    </row>
    <row r="37" customFormat="false" ht="15" hidden="false" customHeight="false" outlineLevel="0" collapsed="false">
      <c r="A37" s="2" t="n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 t="n">
        <v>15</v>
      </c>
      <c r="G37" s="6" t="s">
        <v>91</v>
      </c>
      <c r="H37" s="7" t="s">
        <v>15</v>
      </c>
      <c r="I37" s="3"/>
      <c r="J37" s="7"/>
    </row>
    <row r="38" customFormat="false" ht="26.85" hidden="false" customHeight="false" outlineLevel="0" collapsed="false">
      <c r="A38" s="2" t="n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 t="n">
        <v>15</v>
      </c>
      <c r="G38" s="6" t="s">
        <v>93</v>
      </c>
      <c r="H38" s="7" t="s">
        <v>15</v>
      </c>
      <c r="I38" s="3"/>
      <c r="J38" s="7"/>
    </row>
    <row r="39" customFormat="false" ht="15" hidden="false" customHeight="false" outlineLevel="0" collapsed="false">
      <c r="A39" s="2" t="n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 t="n">
        <v>20</v>
      </c>
      <c r="G39" s="6" t="s">
        <v>95</v>
      </c>
      <c r="H39" s="7" t="s">
        <v>15</v>
      </c>
      <c r="I39" s="3"/>
      <c r="J39" s="7"/>
    </row>
    <row r="40" customFormat="false" ht="15" hidden="false" customHeight="false" outlineLevel="0" collapsed="false">
      <c r="A40" s="2" t="n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 t="n">
        <v>20</v>
      </c>
      <c r="G40" s="6" t="s">
        <v>97</v>
      </c>
      <c r="H40" s="7" t="s">
        <v>15</v>
      </c>
      <c r="I40" s="3"/>
      <c r="J40" s="7"/>
    </row>
    <row r="41" customFormat="false" ht="15" hidden="false" customHeight="false" outlineLevel="0" collapsed="false">
      <c r="A41" s="2" t="n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 t="n">
        <v>15</v>
      </c>
      <c r="G41" s="6" t="s">
        <v>99</v>
      </c>
      <c r="H41" s="7" t="s">
        <v>15</v>
      </c>
      <c r="I41" s="3"/>
      <c r="J41" s="7"/>
    </row>
    <row r="42" customFormat="false" ht="15" hidden="false" customHeight="false" outlineLevel="0" collapsed="false">
      <c r="A42" s="2" t="n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 t="n">
        <v>20</v>
      </c>
      <c r="G42" s="6" t="s">
        <v>101</v>
      </c>
      <c r="H42" s="7" t="s">
        <v>15</v>
      </c>
      <c r="I42" s="3"/>
      <c r="J42" s="7"/>
    </row>
    <row r="43" customFormat="false" ht="26.85" hidden="false" customHeight="false" outlineLevel="0" collapsed="false">
      <c r="A43" s="2" t="n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 t="n">
        <v>20</v>
      </c>
      <c r="G43" s="6" t="s">
        <v>103</v>
      </c>
      <c r="H43" s="7" t="s">
        <v>15</v>
      </c>
      <c r="I43" s="3"/>
      <c r="J43" s="7"/>
    </row>
    <row r="44" customFormat="false" ht="26.85" hidden="false" customHeight="false" outlineLevel="0" collapsed="false">
      <c r="A44" s="2" t="n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 t="n">
        <v>15</v>
      </c>
      <c r="G44" s="6" t="s">
        <v>106</v>
      </c>
      <c r="H44" s="7" t="s">
        <v>15</v>
      </c>
      <c r="I44" s="3"/>
      <c r="J44" s="7"/>
    </row>
    <row r="45" customFormat="false" ht="26.85" hidden="false" customHeight="false" outlineLevel="0" collapsed="false">
      <c r="A45" s="2" t="n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 t="n">
        <v>15</v>
      </c>
      <c r="G45" s="6" t="s">
        <v>108</v>
      </c>
      <c r="H45" s="7" t="s">
        <v>15</v>
      </c>
      <c r="I45" s="3"/>
      <c r="J45" s="7"/>
    </row>
    <row r="46" customFormat="false" ht="15" hidden="false" customHeight="false" outlineLevel="0" collapsed="false">
      <c r="A46" s="2" t="n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 t="n">
        <v>15</v>
      </c>
      <c r="G46" s="6" t="s">
        <v>110</v>
      </c>
      <c r="H46" s="7" t="s">
        <v>15</v>
      </c>
      <c r="I46" s="3"/>
      <c r="J46" s="7"/>
    </row>
    <row r="47" customFormat="false" ht="15" hidden="false" customHeight="false" outlineLevel="0" collapsed="false">
      <c r="A47" s="2" t="n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 t="n">
        <v>10</v>
      </c>
      <c r="G47" s="6" t="s">
        <v>112</v>
      </c>
      <c r="H47" s="7" t="s">
        <v>15</v>
      </c>
      <c r="I47" s="3"/>
      <c r="J47" s="7"/>
    </row>
    <row r="48" customFormat="false" ht="15" hidden="false" customHeight="false" outlineLevel="0" collapsed="false">
      <c r="A48" s="2" t="n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 t="n">
        <v>15</v>
      </c>
      <c r="G48" s="6" t="s">
        <v>114</v>
      </c>
      <c r="H48" s="7" t="s">
        <v>15</v>
      </c>
      <c r="I48" s="3"/>
      <c r="J48" s="7"/>
    </row>
    <row r="49" customFormat="false" ht="15" hidden="false" customHeight="false" outlineLevel="0" collapsed="false">
      <c r="A49" s="2" t="n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 t="n">
        <v>20</v>
      </c>
      <c r="G49" s="6" t="s">
        <v>116</v>
      </c>
      <c r="H49" s="7" t="s">
        <v>15</v>
      </c>
      <c r="I49" s="3"/>
      <c r="J49" s="7"/>
    </row>
    <row r="50" customFormat="false" ht="15" hidden="false" customHeight="false" outlineLevel="0" collapsed="false">
      <c r="A50" s="2" t="n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 t="n">
        <v>20</v>
      </c>
      <c r="G50" s="6" t="s">
        <v>118</v>
      </c>
      <c r="H50" s="7" t="s">
        <v>15</v>
      </c>
      <c r="I50" s="3"/>
      <c r="J50" s="7"/>
    </row>
    <row r="51" customFormat="false" ht="15" hidden="false" customHeight="false" outlineLevel="0" collapsed="false">
      <c r="A51" s="2" t="n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 t="n">
        <v>25</v>
      </c>
      <c r="G51" s="6" t="s">
        <v>120</v>
      </c>
      <c r="H51" s="7" t="s">
        <v>15</v>
      </c>
      <c r="I51" s="3"/>
      <c r="J51" s="7"/>
    </row>
    <row r="52" customFormat="false" ht="26.85" hidden="false" customHeight="false" outlineLevel="0" collapsed="false">
      <c r="A52" s="2" t="n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 t="n">
        <v>25</v>
      </c>
      <c r="G52" s="6" t="s">
        <v>122</v>
      </c>
      <c r="H52" s="7" t="s">
        <v>15</v>
      </c>
      <c r="I52" s="3"/>
      <c r="J52" s="7"/>
    </row>
    <row r="53" customFormat="false" ht="15" hidden="false" customHeight="false" outlineLevel="0" collapsed="false">
      <c r="A53" s="2" t="n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 t="n">
        <v>25</v>
      </c>
      <c r="G53" s="6" t="s">
        <v>124</v>
      </c>
      <c r="H53" s="7" t="s">
        <v>15</v>
      </c>
      <c r="I53" s="3"/>
      <c r="J53" s="7"/>
    </row>
    <row r="54" customFormat="false" ht="26.85" hidden="false" customHeight="false" outlineLevel="0" collapsed="false">
      <c r="A54" s="2" t="n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 t="n">
        <v>20</v>
      </c>
      <c r="G54" s="6" t="s">
        <v>127</v>
      </c>
      <c r="H54" s="7" t="s">
        <v>15</v>
      </c>
      <c r="I54" s="3"/>
      <c r="J54" s="7"/>
    </row>
    <row r="55" customFormat="false" ht="26.85" hidden="false" customHeight="false" outlineLevel="0" collapsed="false">
      <c r="A55" s="2" t="n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 t="n">
        <v>15</v>
      </c>
      <c r="G55" s="6" t="s">
        <v>129</v>
      </c>
      <c r="H55" s="7" t="s">
        <v>15</v>
      </c>
      <c r="I55" s="3"/>
      <c r="J55" s="7"/>
    </row>
    <row r="56" customFormat="false" ht="15" hidden="false" customHeight="false" outlineLevel="0" collapsed="false">
      <c r="A56" s="2" t="n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 t="n">
        <v>15</v>
      </c>
      <c r="G56" s="6" t="s">
        <v>131</v>
      </c>
      <c r="H56" s="7" t="s">
        <v>15</v>
      </c>
      <c r="I56" s="3"/>
      <c r="J56" s="7"/>
    </row>
    <row r="57" customFormat="false" ht="15" hidden="false" customHeight="false" outlineLevel="0" collapsed="false">
      <c r="A57" s="2" t="n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 t="n">
        <v>20</v>
      </c>
      <c r="G57" s="6" t="s">
        <v>133</v>
      </c>
      <c r="H57" s="7" t="s">
        <v>15</v>
      </c>
      <c r="I57" s="3"/>
      <c r="J57" s="7"/>
    </row>
    <row r="58" customFormat="false" ht="15" hidden="false" customHeight="false" outlineLevel="0" collapsed="false">
      <c r="A58" s="2" t="n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 t="n">
        <v>20</v>
      </c>
      <c r="G58" s="6" t="s">
        <v>135</v>
      </c>
      <c r="H58" s="7" t="s">
        <v>15</v>
      </c>
      <c r="I58" s="3"/>
      <c r="J58" s="7"/>
    </row>
    <row r="59" customFormat="false" ht="15" hidden="false" customHeight="false" outlineLevel="0" collapsed="false">
      <c r="A59" s="2" t="n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 t="n">
        <v>15</v>
      </c>
      <c r="G59" s="6" t="s">
        <v>137</v>
      </c>
      <c r="H59" s="7" t="s">
        <v>15</v>
      </c>
      <c r="I59" s="3"/>
      <c r="J59" s="7"/>
    </row>
    <row r="60" customFormat="false" ht="15" hidden="false" customHeight="false" outlineLevel="0" collapsed="false">
      <c r="A60" s="2" t="n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 t="n">
        <v>20</v>
      </c>
      <c r="G60" s="6" t="s">
        <v>139</v>
      </c>
      <c r="H60" s="7" t="s">
        <v>15</v>
      </c>
      <c r="I60" s="3"/>
      <c r="J60" s="7"/>
    </row>
    <row r="61" customFormat="false" ht="15" hidden="false" customHeight="false" outlineLevel="0" collapsed="false">
      <c r="A61" s="2" t="n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 t="n">
        <v>20</v>
      </c>
      <c r="G61" s="6" t="s">
        <v>141</v>
      </c>
      <c r="H61" s="7" t="s">
        <v>15</v>
      </c>
      <c r="I61" s="3"/>
      <c r="J61" s="7"/>
    </row>
    <row r="62" customFormat="false" ht="26.85" hidden="false" customHeight="false" outlineLevel="0" collapsed="false">
      <c r="A62" s="2" t="n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 t="n">
        <v>10</v>
      </c>
      <c r="G62" s="6" t="s">
        <v>143</v>
      </c>
      <c r="H62" s="7" t="s">
        <v>15</v>
      </c>
      <c r="I62" s="3"/>
      <c r="J62" s="7"/>
    </row>
    <row r="63" customFormat="false" ht="26.85" hidden="false" customHeight="false" outlineLevel="0" collapsed="false">
      <c r="A63" s="2" t="n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 t="n">
        <v>10</v>
      </c>
      <c r="G63" s="6" t="s">
        <v>145</v>
      </c>
      <c r="H63" s="7" t="s">
        <v>15</v>
      </c>
      <c r="I63" s="3"/>
      <c r="J63" s="7"/>
    </row>
    <row r="64" customFormat="false" ht="15" hidden="false" customHeight="false" outlineLevel="0" collapsed="false">
      <c r="A64" s="2" t="n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 t="n">
        <v>15</v>
      </c>
      <c r="G64" s="6" t="s">
        <v>147</v>
      </c>
      <c r="H64" s="7" t="s">
        <v>15</v>
      </c>
      <c r="I64" s="3"/>
      <c r="J64" s="7"/>
    </row>
    <row r="65" customFormat="false" ht="15" hidden="false" customHeight="false" outlineLevel="0" collapsed="false">
      <c r="A65" s="2" t="n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 t="n">
        <v>20</v>
      </c>
      <c r="G65" s="6" t="s">
        <v>149</v>
      </c>
      <c r="H65" s="7" t="s">
        <v>15</v>
      </c>
      <c r="I65" s="3"/>
      <c r="J65" s="7"/>
    </row>
    <row r="66" customFormat="false" ht="15" hidden="false" customHeight="false" outlineLevel="0" collapsed="false">
      <c r="A66" s="2" t="n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 t="n">
        <v>25</v>
      </c>
      <c r="G66" s="6" t="s">
        <v>151</v>
      </c>
      <c r="H66" s="7" t="s">
        <v>15</v>
      </c>
      <c r="I66" s="3"/>
      <c r="J66" s="7"/>
    </row>
    <row r="67" customFormat="false" ht="15" hidden="false" customHeight="false" outlineLevel="0" collapsed="false">
      <c r="A67" s="2" t="n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 t="n">
        <v>20</v>
      </c>
      <c r="G67" s="6" t="s">
        <v>153</v>
      </c>
      <c r="H67" s="7" t="s">
        <v>15</v>
      </c>
      <c r="I67" s="3"/>
      <c r="J67" s="7"/>
    </row>
    <row r="68" customFormat="false" ht="26.85" hidden="false" customHeight="false" outlineLevel="0" collapsed="false">
      <c r="A68" s="2" t="n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 t="n">
        <v>20</v>
      </c>
      <c r="G68" s="6" t="s">
        <v>155</v>
      </c>
      <c r="H68" s="7" t="s">
        <v>15</v>
      </c>
      <c r="I68" s="3"/>
      <c r="J68" s="7"/>
    </row>
    <row r="69" customFormat="false" ht="26.85" hidden="false" customHeight="false" outlineLevel="0" collapsed="false">
      <c r="A69" s="2" t="n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 t="n">
        <v>25</v>
      </c>
      <c r="G69" s="6" t="s">
        <v>157</v>
      </c>
      <c r="H69" s="7" t="s">
        <v>15</v>
      </c>
      <c r="I69" s="3"/>
      <c r="J69" s="7"/>
    </row>
    <row r="70" customFormat="false" ht="15" hidden="false" customHeight="false" outlineLevel="0" collapsed="false">
      <c r="A70" s="2" t="n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 t="n">
        <v>10</v>
      </c>
      <c r="G70" s="6" t="s">
        <v>160</v>
      </c>
      <c r="H70" s="7" t="s">
        <v>15</v>
      </c>
      <c r="I70" s="3"/>
      <c r="J70" s="7"/>
    </row>
    <row r="71" customFormat="false" ht="15" hidden="false" customHeight="false" outlineLevel="0" collapsed="false">
      <c r="A71" s="2" t="n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 t="n">
        <v>10</v>
      </c>
      <c r="G71" s="6" t="s">
        <v>162</v>
      </c>
      <c r="H71" s="7" t="s">
        <v>15</v>
      </c>
      <c r="I71" s="3"/>
      <c r="J71" s="7"/>
    </row>
    <row r="72" customFormat="false" ht="15" hidden="false" customHeight="false" outlineLevel="0" collapsed="false">
      <c r="A72" s="2" t="n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 t="n">
        <v>10</v>
      </c>
      <c r="G72" s="6" t="s">
        <v>164</v>
      </c>
      <c r="H72" s="7" t="s">
        <v>15</v>
      </c>
      <c r="I72" s="3"/>
      <c r="J72" s="7"/>
    </row>
    <row r="73" customFormat="false" ht="15" hidden="false" customHeight="false" outlineLevel="0" collapsed="false">
      <c r="A73" s="2" t="n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 t="n">
        <v>15</v>
      </c>
      <c r="G73" s="6" t="s">
        <v>166</v>
      </c>
      <c r="H73" s="7" t="s">
        <v>15</v>
      </c>
      <c r="I73" s="3"/>
      <c r="J73" s="7"/>
    </row>
    <row r="74" customFormat="false" ht="15" hidden="false" customHeight="false" outlineLevel="0" collapsed="false">
      <c r="A74" s="2" t="n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 t="n">
        <v>20</v>
      </c>
      <c r="G74" s="6" t="s">
        <v>168</v>
      </c>
      <c r="H74" s="7" t="s">
        <v>15</v>
      </c>
      <c r="I74" s="3"/>
      <c r="J74" s="7"/>
    </row>
    <row r="75" customFormat="false" ht="15" hidden="false" customHeight="false" outlineLevel="0" collapsed="false">
      <c r="A75" s="2" t="n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 t="n">
        <v>15</v>
      </c>
      <c r="G75" s="6" t="s">
        <v>170</v>
      </c>
      <c r="H75" s="7" t="s">
        <v>15</v>
      </c>
      <c r="I75" s="3"/>
      <c r="J75" s="7"/>
    </row>
    <row r="76" customFormat="false" ht="15" hidden="false" customHeight="false" outlineLevel="0" collapsed="false">
      <c r="A76" s="2" t="n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 t="n">
        <v>20</v>
      </c>
      <c r="G76" s="6" t="s">
        <v>172</v>
      </c>
      <c r="H76" s="7" t="s">
        <v>15</v>
      </c>
      <c r="I76" s="3"/>
      <c r="J76" s="7"/>
    </row>
    <row r="77" customFormat="false" ht="15" hidden="false" customHeight="false" outlineLevel="0" collapsed="false">
      <c r="A77" s="2" t="n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 t="n">
        <v>15</v>
      </c>
      <c r="G77" s="6" t="s">
        <v>174</v>
      </c>
      <c r="H77" s="7" t="s">
        <v>15</v>
      </c>
      <c r="I77" s="3"/>
      <c r="J77" s="7"/>
    </row>
    <row r="78" customFormat="false" ht="15" hidden="false" customHeight="false" outlineLevel="0" collapsed="false">
      <c r="A78" s="2" t="n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 t="n">
        <v>15</v>
      </c>
      <c r="G78" s="6" t="s">
        <v>176</v>
      </c>
      <c r="H78" s="7" t="s">
        <v>15</v>
      </c>
      <c r="I78" s="3"/>
      <c r="J78" s="7"/>
    </row>
    <row r="79" customFormat="false" ht="26.85" hidden="false" customHeight="false" outlineLevel="0" collapsed="false">
      <c r="A79" s="2" t="n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 t="n">
        <v>20</v>
      </c>
      <c r="G79" s="6" t="s">
        <v>178</v>
      </c>
      <c r="H79" s="7" t="s">
        <v>15</v>
      </c>
      <c r="I79" s="3"/>
      <c r="J79" s="7"/>
    </row>
    <row r="80" customFormat="false" ht="26.85" hidden="false" customHeight="false" outlineLevel="0" collapsed="false">
      <c r="A80" s="2" t="n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 t="n">
        <v>20</v>
      </c>
      <c r="G80" s="6" t="s">
        <v>180</v>
      </c>
      <c r="H80" s="7" t="s">
        <v>15</v>
      </c>
      <c r="I80" s="3"/>
      <c r="J80" s="7"/>
    </row>
    <row r="81" customFormat="false" ht="15" hidden="false" customHeight="false" outlineLevel="0" collapsed="false">
      <c r="A81" s="2" t="n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 t="n">
        <v>20</v>
      </c>
      <c r="G81" s="6" t="s">
        <v>182</v>
      </c>
      <c r="H81" s="7" t="s">
        <v>15</v>
      </c>
      <c r="I81" s="3"/>
      <c r="J81" s="7"/>
    </row>
    <row r="82" customFormat="false" ht="15" hidden="false" customHeight="false" outlineLevel="0" collapsed="false">
      <c r="A82" s="2" t="n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 t="n">
        <v>25</v>
      </c>
      <c r="G82" s="6" t="s">
        <v>185</v>
      </c>
      <c r="H82" s="7" t="s">
        <v>15</v>
      </c>
      <c r="I82" s="3"/>
      <c r="J82" s="7"/>
    </row>
    <row r="83" customFormat="false" ht="26.85" hidden="false" customHeight="false" outlineLevel="0" collapsed="false">
      <c r="A83" s="2" t="n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 t="n">
        <v>15</v>
      </c>
      <c r="G83" s="6" t="s">
        <v>187</v>
      </c>
      <c r="H83" s="7" t="s">
        <v>15</v>
      </c>
      <c r="I83" s="3"/>
      <c r="J83" s="7"/>
    </row>
    <row r="84" customFormat="false" ht="26.85" hidden="false" customHeight="false" outlineLevel="0" collapsed="false">
      <c r="A84" s="2" t="n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 t="n">
        <v>20</v>
      </c>
      <c r="G84" s="6" t="s">
        <v>189</v>
      </c>
      <c r="H84" s="7" t="s">
        <v>15</v>
      </c>
      <c r="I84" s="3"/>
      <c r="J84" s="7"/>
    </row>
    <row r="85" customFormat="false" ht="26.85" hidden="false" customHeight="false" outlineLevel="0" collapsed="false">
      <c r="A85" s="2" t="n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 t="n">
        <v>20</v>
      </c>
      <c r="G85" s="6" t="s">
        <v>191</v>
      </c>
      <c r="H85" s="7" t="s">
        <v>15</v>
      </c>
      <c r="I85" s="3"/>
      <c r="J85" s="7"/>
    </row>
    <row r="86" customFormat="false" ht="26.85" hidden="false" customHeight="false" outlineLevel="0" collapsed="false">
      <c r="A86" s="2" t="n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 t="n">
        <v>25</v>
      </c>
      <c r="G86" s="6" t="s">
        <v>193</v>
      </c>
      <c r="H86" s="7" t="s">
        <v>15</v>
      </c>
      <c r="I86" s="3"/>
      <c r="J86" s="7"/>
    </row>
    <row r="87" customFormat="false" ht="26.85" hidden="false" customHeight="false" outlineLevel="0" collapsed="false">
      <c r="A87" s="2" t="n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 t="n">
        <v>20</v>
      </c>
      <c r="G87" s="6" t="s">
        <v>195</v>
      </c>
      <c r="H87" s="7" t="s">
        <v>15</v>
      </c>
      <c r="I87" s="3"/>
      <c r="J87" s="7"/>
    </row>
    <row r="88" customFormat="false" ht="26.85" hidden="false" customHeight="false" outlineLevel="0" collapsed="false">
      <c r="A88" s="2" t="n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 t="n">
        <v>25</v>
      </c>
      <c r="G88" s="6" t="s">
        <v>197</v>
      </c>
      <c r="H88" s="7" t="s">
        <v>15</v>
      </c>
      <c r="I88" s="3"/>
      <c r="J88" s="7"/>
    </row>
    <row r="89" customFormat="false" ht="15" hidden="false" customHeight="false" outlineLevel="0" collapsed="false">
      <c r="A89" s="2" t="n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 t="n">
        <v>25</v>
      </c>
      <c r="G89" s="6" t="s">
        <v>199</v>
      </c>
      <c r="H89" s="7" t="s">
        <v>15</v>
      </c>
      <c r="I89" s="3"/>
      <c r="J89" s="7"/>
    </row>
    <row r="90" customFormat="false" ht="15" hidden="false" customHeight="false" outlineLevel="0" collapsed="false">
      <c r="A90" s="2" t="n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 t="n">
        <v>25</v>
      </c>
      <c r="G90" s="6" t="s">
        <v>201</v>
      </c>
      <c r="H90" s="7" t="s">
        <v>15</v>
      </c>
      <c r="I90" s="3"/>
      <c r="J90" s="7"/>
    </row>
    <row r="91" customFormat="false" ht="15" hidden="false" customHeight="false" outlineLevel="0" collapsed="false">
      <c r="A91" s="2" t="n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 t="n">
        <v>20</v>
      </c>
      <c r="G91" s="6" t="s">
        <v>203</v>
      </c>
      <c r="H91" s="7" t="s">
        <v>15</v>
      </c>
      <c r="I91" s="3"/>
      <c r="J91" s="7"/>
    </row>
    <row r="92" customFormat="false" ht="26.85" hidden="false" customHeight="false" outlineLevel="0" collapsed="false">
      <c r="A92" s="2" t="n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 t="n">
        <v>20</v>
      </c>
      <c r="G92" s="6" t="s">
        <v>206</v>
      </c>
      <c r="H92" s="7" t="s">
        <v>15</v>
      </c>
      <c r="I92" s="3"/>
      <c r="J92" s="7"/>
    </row>
    <row r="93" customFormat="false" ht="15" hidden="false" customHeight="false" outlineLevel="0" collapsed="false">
      <c r="A93" s="2" t="n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 t="n">
        <v>20</v>
      </c>
      <c r="G93" s="6" t="s">
        <v>208</v>
      </c>
      <c r="H93" s="7" t="s">
        <v>15</v>
      </c>
      <c r="I93" s="3"/>
      <c r="J93" s="7"/>
    </row>
    <row r="94" customFormat="false" ht="26.85" hidden="false" customHeight="false" outlineLevel="0" collapsed="false">
      <c r="A94" s="2" t="n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 t="n">
        <v>20</v>
      </c>
      <c r="G94" s="6" t="s">
        <v>210</v>
      </c>
      <c r="H94" s="7" t="s">
        <v>15</v>
      </c>
      <c r="I94" s="3"/>
      <c r="J94" s="7"/>
    </row>
    <row r="95" customFormat="false" ht="15" hidden="false" customHeight="false" outlineLevel="0" collapsed="false">
      <c r="A95" s="2" t="n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 t="n">
        <v>25</v>
      </c>
      <c r="G95" s="6" t="s">
        <v>212</v>
      </c>
      <c r="H95" s="7" t="s">
        <v>15</v>
      </c>
      <c r="I95" s="3"/>
      <c r="J95" s="7"/>
    </row>
    <row r="96" customFormat="false" ht="26.85" hidden="false" customHeight="false" outlineLevel="0" collapsed="false">
      <c r="A96" s="2" t="n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 t="n">
        <v>20</v>
      </c>
      <c r="G96" s="6" t="s">
        <v>214</v>
      </c>
      <c r="H96" s="7" t="s">
        <v>15</v>
      </c>
      <c r="I96" s="3"/>
      <c r="J96" s="7"/>
    </row>
    <row r="97" customFormat="false" ht="26.85" hidden="false" customHeight="false" outlineLevel="0" collapsed="false">
      <c r="A97" s="2" t="n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 t="n">
        <v>20</v>
      </c>
      <c r="G97" s="6" t="s">
        <v>216</v>
      </c>
      <c r="H97" s="7" t="s">
        <v>15</v>
      </c>
      <c r="I97" s="3"/>
      <c r="J97" s="7"/>
    </row>
    <row r="98" customFormat="false" ht="26.85" hidden="false" customHeight="false" outlineLevel="0" collapsed="false">
      <c r="A98" s="2" t="n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 t="n">
        <v>25</v>
      </c>
      <c r="G98" s="6" t="s">
        <v>218</v>
      </c>
      <c r="H98" s="7" t="s">
        <v>15</v>
      </c>
      <c r="I98" s="3"/>
      <c r="J98" s="7"/>
    </row>
    <row r="99" customFormat="false" ht="26.85" hidden="false" customHeight="false" outlineLevel="0" collapsed="false">
      <c r="A99" s="2" t="n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 t="n">
        <v>30</v>
      </c>
      <c r="G99" s="6" t="s">
        <v>220</v>
      </c>
      <c r="H99" s="7" t="s">
        <v>15</v>
      </c>
      <c r="I99" s="3"/>
      <c r="J99" s="7"/>
    </row>
    <row r="100" customFormat="false" ht="26.85" hidden="false" customHeight="false" outlineLevel="0" collapsed="false">
      <c r="A100" s="2" t="n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 t="n">
        <v>15</v>
      </c>
      <c r="G100" s="6" t="s">
        <v>223</v>
      </c>
      <c r="H100" s="7" t="s">
        <v>15</v>
      </c>
      <c r="I100" s="3"/>
      <c r="J100" s="7"/>
    </row>
    <row r="101" customFormat="false" ht="15" hidden="false" customHeight="false" outlineLevel="0" collapsed="false">
      <c r="A101" s="2" t="n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 t="n">
        <v>20</v>
      </c>
      <c r="G101" s="6" t="s">
        <v>225</v>
      </c>
      <c r="H101" s="7" t="s">
        <v>15</v>
      </c>
      <c r="I101" s="3"/>
      <c r="J101" s="7"/>
    </row>
    <row r="102" customFormat="false" ht="15" hidden="false" customHeight="false" outlineLevel="0" collapsed="false">
      <c r="A102" s="2" t="n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 t="n">
        <v>20</v>
      </c>
      <c r="G102" s="6" t="s">
        <v>227</v>
      </c>
      <c r="H102" s="7" t="s">
        <v>15</v>
      </c>
      <c r="I102" s="3"/>
      <c r="J102" s="7"/>
    </row>
    <row r="103" customFormat="false" ht="26.85" hidden="false" customHeight="false" outlineLevel="0" collapsed="false">
      <c r="A103" s="2" t="n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 t="n">
        <v>25</v>
      </c>
      <c r="G103" s="6" t="s">
        <v>229</v>
      </c>
      <c r="H103" s="7" t="s">
        <v>15</v>
      </c>
      <c r="I103" s="3"/>
      <c r="J103" s="7"/>
    </row>
    <row r="104" customFormat="false" ht="15" hidden="false" customHeight="false" outlineLevel="0" collapsed="false">
      <c r="A104" s="2" t="n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 t="n">
        <v>20</v>
      </c>
      <c r="G104" s="6" t="s">
        <v>231</v>
      </c>
      <c r="H104" s="7" t="s">
        <v>15</v>
      </c>
      <c r="I104" s="3"/>
      <c r="J104" s="7"/>
    </row>
    <row r="105" customFormat="false" ht="26.85" hidden="false" customHeight="false" outlineLevel="0" collapsed="false">
      <c r="A105" s="2" t="n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 t="n">
        <v>20</v>
      </c>
      <c r="G105" s="6" t="s">
        <v>233</v>
      </c>
      <c r="H105" s="7" t="s">
        <v>15</v>
      </c>
      <c r="I105" s="3"/>
      <c r="J105" s="7"/>
    </row>
    <row r="106" customFormat="false" ht="15" hidden="false" customHeight="false" outlineLevel="0" collapsed="false">
      <c r="A106" s="2" t="n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 t="n">
        <v>20</v>
      </c>
      <c r="G106" s="6" t="s">
        <v>235</v>
      </c>
      <c r="H106" s="7" t="s">
        <v>15</v>
      </c>
      <c r="I106" s="3"/>
      <c r="J106" s="7"/>
    </row>
    <row r="107" customFormat="false" ht="15" hidden="false" customHeight="false" outlineLevel="0" collapsed="false">
      <c r="A107" s="2" t="n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 t="n">
        <v>20</v>
      </c>
      <c r="G107" s="6" t="s">
        <v>237</v>
      </c>
      <c r="H107" s="7" t="s">
        <v>15</v>
      </c>
      <c r="I107" s="3"/>
      <c r="J107" s="7"/>
    </row>
    <row r="108" customFormat="false" ht="26.85" hidden="false" customHeight="false" outlineLevel="0" collapsed="false">
      <c r="A108" s="2" t="n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 t="n">
        <v>25</v>
      </c>
      <c r="G108" s="6" t="s">
        <v>239</v>
      </c>
      <c r="H108" s="7" t="s">
        <v>15</v>
      </c>
      <c r="I108" s="3"/>
      <c r="J108" s="7"/>
    </row>
    <row r="109" customFormat="false" ht="26.85" hidden="false" customHeight="false" outlineLevel="0" collapsed="false">
      <c r="A109" s="2" t="n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 t="n">
        <v>20</v>
      </c>
      <c r="G109" s="6" t="s">
        <v>241</v>
      </c>
      <c r="H109" s="7" t="s">
        <v>15</v>
      </c>
      <c r="I109" s="3"/>
      <c r="J109" s="7"/>
    </row>
    <row r="110" customFormat="false" ht="26.85" hidden="false" customHeight="false" outlineLevel="0" collapsed="false">
      <c r="A110" s="2" t="n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 t="n">
        <v>15</v>
      </c>
      <c r="G110" s="6" t="s">
        <v>244</v>
      </c>
      <c r="H110" s="7" t="s">
        <v>15</v>
      </c>
      <c r="I110" s="3"/>
      <c r="J110" s="7"/>
    </row>
    <row r="111" customFormat="false" ht="26.85" hidden="false" customHeight="false" outlineLevel="0" collapsed="false">
      <c r="A111" s="2" t="n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 t="n">
        <v>20</v>
      </c>
      <c r="G111" s="6" t="s">
        <v>246</v>
      </c>
      <c r="H111" s="7" t="s">
        <v>15</v>
      </c>
      <c r="I111" s="3"/>
      <c r="J111" s="7"/>
    </row>
    <row r="112" customFormat="false" ht="15" hidden="false" customHeight="false" outlineLevel="0" collapsed="false">
      <c r="A112" s="2" t="n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 t="n">
        <v>20</v>
      </c>
      <c r="G112" s="6" t="s">
        <v>248</v>
      </c>
      <c r="H112" s="7" t="s">
        <v>15</v>
      </c>
      <c r="I112" s="3"/>
      <c r="J112" s="7"/>
    </row>
    <row r="113" customFormat="false" ht="15" hidden="false" customHeight="false" outlineLevel="0" collapsed="false">
      <c r="A113" s="2" t="n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 t="n">
        <v>25</v>
      </c>
      <c r="G113" s="6" t="s">
        <v>250</v>
      </c>
      <c r="H113" s="7" t="s">
        <v>15</v>
      </c>
      <c r="I113" s="3"/>
      <c r="J113" s="7"/>
    </row>
    <row r="114" customFormat="false" ht="15" hidden="false" customHeight="false" outlineLevel="0" collapsed="false">
      <c r="A114" s="2" t="n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 t="n">
        <v>25</v>
      </c>
      <c r="G114" s="6" t="s">
        <v>252</v>
      </c>
      <c r="H114" s="7" t="s">
        <v>15</v>
      </c>
      <c r="I114" s="3"/>
      <c r="J114" s="7"/>
    </row>
    <row r="115" customFormat="false" ht="15" hidden="false" customHeight="false" outlineLevel="0" collapsed="false">
      <c r="A115" s="2" t="n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 t="n">
        <v>25</v>
      </c>
      <c r="G115" s="6" t="s">
        <v>254</v>
      </c>
      <c r="H115" s="7" t="s">
        <v>15</v>
      </c>
      <c r="I115" s="3"/>
      <c r="J115" s="7"/>
    </row>
    <row r="116" customFormat="false" ht="15" hidden="false" customHeight="false" outlineLevel="0" collapsed="false">
      <c r="A116" s="2" t="n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 t="n">
        <v>25</v>
      </c>
      <c r="G116" s="6" t="s">
        <v>256</v>
      </c>
      <c r="H116" s="7" t="s">
        <v>15</v>
      </c>
      <c r="I116" s="3"/>
      <c r="J116" s="7"/>
    </row>
    <row r="117" customFormat="false" ht="15" hidden="false" customHeight="false" outlineLevel="0" collapsed="false">
      <c r="A117" s="2" t="n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 t="n">
        <v>30</v>
      </c>
      <c r="G117" s="6" t="s">
        <v>258</v>
      </c>
      <c r="H117" s="7" t="s">
        <v>15</v>
      </c>
      <c r="I117" s="3"/>
      <c r="J117" s="7"/>
    </row>
    <row r="118" customFormat="false" ht="15" hidden="false" customHeight="false" outlineLevel="0" collapsed="false">
      <c r="A118" s="2" t="n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 t="n">
        <v>20</v>
      </c>
      <c r="G118" s="6" t="s">
        <v>261</v>
      </c>
      <c r="H118" s="7" t="s">
        <v>15</v>
      </c>
      <c r="I118" s="3"/>
      <c r="J118" s="7"/>
    </row>
    <row r="119" customFormat="false" ht="15" hidden="false" customHeight="false" outlineLevel="0" collapsed="false">
      <c r="A119" s="2" t="n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 t="n">
        <v>15</v>
      </c>
      <c r="G119" s="6" t="s">
        <v>263</v>
      </c>
      <c r="H119" s="7" t="s">
        <v>15</v>
      </c>
      <c r="I119" s="3"/>
      <c r="J119" s="7"/>
    </row>
    <row r="120" customFormat="false" ht="15" hidden="false" customHeight="false" outlineLevel="0" collapsed="false">
      <c r="A120" s="2" t="n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 t="n">
        <v>20</v>
      </c>
      <c r="G120" s="6" t="s">
        <v>265</v>
      </c>
      <c r="H120" s="7" t="s">
        <v>15</v>
      </c>
      <c r="I120" s="3"/>
      <c r="J120" s="7"/>
    </row>
    <row r="121" customFormat="false" ht="15" hidden="false" customHeight="false" outlineLevel="0" collapsed="false">
      <c r="A121" s="2" t="n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 t="n">
        <v>20</v>
      </c>
      <c r="G121" s="6" t="s">
        <v>267</v>
      </c>
      <c r="H121" s="7" t="s">
        <v>15</v>
      </c>
      <c r="I121" s="3"/>
      <c r="J121" s="7"/>
    </row>
    <row r="122" customFormat="false" ht="26.85" hidden="false" customHeight="false" outlineLevel="0" collapsed="false">
      <c r="A122" s="2" t="n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 t="n">
        <v>25</v>
      </c>
      <c r="G122" s="6" t="s">
        <v>269</v>
      </c>
      <c r="H122" s="7" t="s">
        <v>15</v>
      </c>
      <c r="I122" s="3"/>
      <c r="J122" s="7"/>
    </row>
    <row r="123" customFormat="false" ht="26.85" hidden="false" customHeight="false" outlineLevel="0" collapsed="false">
      <c r="A123" s="2" t="n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 t="n">
        <v>30</v>
      </c>
      <c r="G123" s="6" t="s">
        <v>271</v>
      </c>
      <c r="H123" s="7" t="s">
        <v>15</v>
      </c>
      <c r="I123" s="3"/>
      <c r="J123" s="7"/>
    </row>
    <row r="124" customFormat="false" ht="15" hidden="false" customHeight="false" outlineLevel="0" collapsed="false">
      <c r="A124" s="2" t="n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 t="n">
        <v>20</v>
      </c>
      <c r="G124" s="6" t="s">
        <v>274</v>
      </c>
      <c r="H124" s="7" t="s">
        <v>15</v>
      </c>
      <c r="I124" s="3"/>
      <c r="J124" s="7"/>
    </row>
    <row r="125" customFormat="false" ht="26.85" hidden="false" customHeight="false" outlineLevel="0" collapsed="false">
      <c r="A125" s="2" t="n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 t="n">
        <v>20</v>
      </c>
      <c r="G125" s="6" t="s">
        <v>276</v>
      </c>
      <c r="H125" s="7" t="s">
        <v>15</v>
      </c>
      <c r="I125" s="3"/>
      <c r="J125" s="7"/>
    </row>
    <row r="126" customFormat="false" ht="15" hidden="false" customHeight="false" outlineLevel="0" collapsed="false">
      <c r="A126" s="2" t="n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 t="n">
        <v>20</v>
      </c>
      <c r="G126" s="6" t="s">
        <v>278</v>
      </c>
      <c r="H126" s="7" t="s">
        <v>15</v>
      </c>
      <c r="I126" s="3"/>
      <c r="J126" s="7"/>
    </row>
    <row r="127" customFormat="false" ht="15" hidden="false" customHeight="false" outlineLevel="0" collapsed="false">
      <c r="A127" s="2" t="n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 t="n">
        <v>20</v>
      </c>
      <c r="G127" s="6" t="s">
        <v>280</v>
      </c>
      <c r="H127" s="7" t="s">
        <v>15</v>
      </c>
      <c r="I127" s="3"/>
      <c r="J127" s="7"/>
    </row>
    <row r="128" customFormat="false" ht="15" hidden="false" customHeight="false" outlineLevel="0" collapsed="false">
      <c r="A128" s="2" t="n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 t="n">
        <v>20</v>
      </c>
      <c r="G128" s="6" t="s">
        <v>282</v>
      </c>
      <c r="H128" s="7" t="s">
        <v>15</v>
      </c>
      <c r="I128" s="3"/>
      <c r="J128" s="7"/>
    </row>
    <row r="129" customFormat="false" ht="26.85" hidden="false" customHeight="false" outlineLevel="0" collapsed="false">
      <c r="A129" s="2" t="n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 t="n">
        <v>30</v>
      </c>
      <c r="G129" s="6" t="s">
        <v>285</v>
      </c>
      <c r="H129" s="7" t="s">
        <v>15</v>
      </c>
      <c r="I129" s="3"/>
      <c r="J129" s="7"/>
    </row>
    <row r="130" customFormat="false" ht="26.85" hidden="false" customHeight="false" outlineLevel="0" collapsed="false">
      <c r="A130" s="2" t="n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 t="n">
        <v>25</v>
      </c>
      <c r="G130" s="6" t="s">
        <v>287</v>
      </c>
      <c r="H130" s="7" t="s">
        <v>15</v>
      </c>
      <c r="I130" s="3"/>
      <c r="J130" s="7"/>
    </row>
    <row r="131" customFormat="false" ht="26.85" hidden="false" customHeight="false" outlineLevel="0" collapsed="false">
      <c r="A131" s="2" t="n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 t="n">
        <v>30</v>
      </c>
      <c r="G131" s="6" t="s">
        <v>289</v>
      </c>
      <c r="H131" s="7" t="s">
        <v>15</v>
      </c>
      <c r="I131" s="3"/>
      <c r="J131" s="7"/>
    </row>
  </sheetData>
  <autoFilter ref="A1:J131"/>
  <dataValidations count="1">
    <dataValidation allowBlank="true" errorStyle="stop" operator="between" showDropDown="false" showErrorMessage="false" showInputMessage="false" sqref="H2:H131" type="list">
      <formula1>"Not Started,In Progress,Done,Skipped"</formula1>
      <formula2>0</formula2>
    </dataValidation>
  </dataValidations>
  <hyperlinks>
    <hyperlink ref="E2" r:id="rId2" display="Open problem"/>
    <hyperlink ref="E3" r:id="rId3" display="Open problem"/>
    <hyperlink ref="E4" r:id="rId4" display="Open problem"/>
    <hyperlink ref="E5" r:id="rId5" display="Open problem"/>
    <hyperlink ref="E6" r:id="rId6" display="Open problem"/>
    <hyperlink ref="E7" r:id="rId7" display="Open problem"/>
    <hyperlink ref="E8" r:id="rId8" display="Open problem"/>
    <hyperlink ref="E9" r:id="rId9" display="Open problem"/>
    <hyperlink ref="E10" r:id="rId10" display="Open problem"/>
    <hyperlink ref="E11" r:id="rId11" display="Open problem"/>
    <hyperlink ref="E12" r:id="rId12" display="Open problem"/>
    <hyperlink ref="E13" r:id="rId13" display="Open problem"/>
    <hyperlink ref="E14" r:id="rId14" display="Open problem"/>
    <hyperlink ref="E15" r:id="rId15" display="Open problem"/>
    <hyperlink ref="E16" r:id="rId16" display="Open problem"/>
    <hyperlink ref="E17" r:id="rId17" display="Open problem"/>
    <hyperlink ref="E18" r:id="rId18" display="Open problem"/>
    <hyperlink ref="E19" r:id="rId19" display="Open problem"/>
    <hyperlink ref="E20" r:id="rId20" display="Open problem"/>
    <hyperlink ref="E21" r:id="rId21" display="Open problem"/>
    <hyperlink ref="E22" r:id="rId22" display="Open problem"/>
    <hyperlink ref="E23" r:id="rId23" display="Open problem"/>
    <hyperlink ref="E24" r:id="rId24" display="Open problem"/>
    <hyperlink ref="E25" r:id="rId25" display="Open problem"/>
    <hyperlink ref="E26" r:id="rId26" display="Open problem"/>
    <hyperlink ref="E27" r:id="rId27" display="Open problem"/>
    <hyperlink ref="E28" r:id="rId28" display="Open problem"/>
    <hyperlink ref="E29" r:id="rId29" display="Open problem"/>
    <hyperlink ref="E30" r:id="rId30" display="Open problem"/>
    <hyperlink ref="E31" r:id="rId31" display="Open problem"/>
    <hyperlink ref="E32" r:id="rId32" display="Open problem"/>
    <hyperlink ref="E33" r:id="rId33" display="Open problem"/>
    <hyperlink ref="E34" r:id="rId34" display="Open problem"/>
    <hyperlink ref="E35" r:id="rId35" display="Open problem"/>
    <hyperlink ref="E36" r:id="rId36" display="Open problem"/>
    <hyperlink ref="E37" r:id="rId37" display="Open problem"/>
    <hyperlink ref="E38" r:id="rId38" display="Open problem"/>
    <hyperlink ref="E39" r:id="rId39" display="Open problem"/>
    <hyperlink ref="E40" r:id="rId40" display="Open problem"/>
    <hyperlink ref="E41" r:id="rId41" display="Open problem"/>
    <hyperlink ref="E42" r:id="rId42" display="Open problem"/>
    <hyperlink ref="E43" r:id="rId43" display="Open problem"/>
    <hyperlink ref="E44" r:id="rId44" display="Open problem"/>
    <hyperlink ref="E45" r:id="rId45" display="Open problem"/>
    <hyperlink ref="E46" r:id="rId46" display="Open problem"/>
    <hyperlink ref="E47" r:id="rId47" display="Open problem"/>
    <hyperlink ref="E48" r:id="rId48" display="Open problem"/>
    <hyperlink ref="E49" r:id="rId49" display="Open problem"/>
    <hyperlink ref="E50" r:id="rId50" display="Open problem"/>
    <hyperlink ref="E51" r:id="rId51" display="Open problem"/>
    <hyperlink ref="E52" r:id="rId52" display="Open problem"/>
    <hyperlink ref="E53" r:id="rId53" display="Open problem"/>
    <hyperlink ref="E54" r:id="rId54" display="Open problem"/>
    <hyperlink ref="E55" r:id="rId55" display="Open problem"/>
    <hyperlink ref="E56" r:id="rId56" display="Open problem"/>
    <hyperlink ref="E57" r:id="rId57" display="Open problem"/>
    <hyperlink ref="E58" r:id="rId58" display="Open problem"/>
    <hyperlink ref="E59" r:id="rId59" display="Open problem"/>
    <hyperlink ref="E60" r:id="rId60" display="Open problem"/>
    <hyperlink ref="E61" r:id="rId61" display="Open problem"/>
    <hyperlink ref="E62" r:id="rId62" display="Open problem"/>
    <hyperlink ref="E63" r:id="rId63" display="Open problem"/>
    <hyperlink ref="E64" r:id="rId64" display="Open problem"/>
    <hyperlink ref="E65" r:id="rId65" display="Open problem"/>
    <hyperlink ref="E66" r:id="rId66" display="Open problem"/>
    <hyperlink ref="E67" r:id="rId67" display="Open problem"/>
    <hyperlink ref="E68" r:id="rId68" display="Open problem"/>
    <hyperlink ref="E69" r:id="rId69" display="Open problem"/>
    <hyperlink ref="E70" r:id="rId70" display="Open problem"/>
    <hyperlink ref="E71" r:id="rId71" display="Open problem"/>
    <hyperlink ref="E72" r:id="rId72" display="Open problem"/>
    <hyperlink ref="E73" r:id="rId73" display="Open problem"/>
    <hyperlink ref="E74" r:id="rId74" display="Open problem"/>
    <hyperlink ref="E75" r:id="rId75" display="Open problem"/>
    <hyperlink ref="E76" r:id="rId76" display="Open problem"/>
    <hyperlink ref="E77" r:id="rId77" display="Open problem"/>
    <hyperlink ref="E78" r:id="rId78" display="Open problem"/>
    <hyperlink ref="E79" r:id="rId79" display="Open problem"/>
    <hyperlink ref="E80" r:id="rId80" display="Open problem"/>
    <hyperlink ref="E81" r:id="rId81" display="Open problem"/>
    <hyperlink ref="E82" r:id="rId82" display="Open problem"/>
    <hyperlink ref="E83" r:id="rId83" display="Open problem"/>
    <hyperlink ref="E84" r:id="rId84" display="Open problem"/>
    <hyperlink ref="E85" r:id="rId85" display="Open problem"/>
    <hyperlink ref="E86" r:id="rId86" display="Open problem"/>
    <hyperlink ref="E87" r:id="rId87" display="Open problem"/>
    <hyperlink ref="E88" r:id="rId88" display="Open problem"/>
    <hyperlink ref="E89" r:id="rId89" display="Open problem"/>
    <hyperlink ref="E90" r:id="rId90" display="Open problem"/>
    <hyperlink ref="E91" r:id="rId91" display="Open problem"/>
    <hyperlink ref="E92" r:id="rId92" display="Open problem"/>
    <hyperlink ref="E93" r:id="rId93" display="Open problem"/>
    <hyperlink ref="E94" r:id="rId94" display="Open problem"/>
    <hyperlink ref="E95" r:id="rId95" display="Open problem"/>
    <hyperlink ref="E96" r:id="rId96" display="Open problem"/>
    <hyperlink ref="E97" r:id="rId97" display="Open problem"/>
    <hyperlink ref="E98" r:id="rId98" display="Open problem"/>
    <hyperlink ref="E99" r:id="rId99" display="Open problem"/>
    <hyperlink ref="E100" r:id="rId100" display="Open problem"/>
    <hyperlink ref="E101" r:id="rId101" display="Open problem"/>
    <hyperlink ref="E102" r:id="rId102" display="Open problem"/>
    <hyperlink ref="E103" r:id="rId103" display="Open problem"/>
    <hyperlink ref="E104" r:id="rId104" display="Open problem"/>
    <hyperlink ref="E105" r:id="rId105" display="Open problem"/>
    <hyperlink ref="E106" r:id="rId106" display="Open problem"/>
    <hyperlink ref="E107" r:id="rId107" display="Open problem"/>
    <hyperlink ref="E108" r:id="rId108" display="Open problem"/>
    <hyperlink ref="E109" r:id="rId109" display="Open problem"/>
    <hyperlink ref="E110" r:id="rId110" display="Open problem"/>
    <hyperlink ref="E111" r:id="rId111" display="Open problem"/>
    <hyperlink ref="E112" r:id="rId112" display="Open problem"/>
    <hyperlink ref="E113" r:id="rId113" display="Open problem"/>
    <hyperlink ref="E114" r:id="rId114" display="Open problem"/>
    <hyperlink ref="E115" r:id="rId115" display="Open problem"/>
    <hyperlink ref="E116" r:id="rId116" display="Open problem"/>
    <hyperlink ref="E117" r:id="rId117" display="Open problem"/>
    <hyperlink ref="E118" r:id="rId118" display="Open problem"/>
    <hyperlink ref="E119" r:id="rId119" display="Open problem"/>
    <hyperlink ref="E120" r:id="rId120" display="Open problem"/>
    <hyperlink ref="E121" r:id="rId121" display="Open problem"/>
    <hyperlink ref="E122" r:id="rId122" display="Open problem"/>
    <hyperlink ref="E123" r:id="rId123" display="Open problem"/>
    <hyperlink ref="E124" r:id="rId124" display="Open problem"/>
    <hyperlink ref="E125" r:id="rId125" display="Open problem"/>
    <hyperlink ref="E126" r:id="rId126" display="Open problem"/>
    <hyperlink ref="E127" r:id="rId127" display="Open problem"/>
    <hyperlink ref="E128" r:id="rId128" display="Open problem"/>
    <hyperlink ref="E129" r:id="rId129" display="Open problem"/>
    <hyperlink ref="E130" r:id="rId130" display="Open problem"/>
    <hyperlink ref="E131" r:id="rId131" display="Open proble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2"/>
  <legacyDrawing r:id="rId13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0" t="s">
        <v>290</v>
      </c>
      <c r="B1" s="10"/>
      <c r="C1" s="10"/>
      <c r="D1" s="11" t="s">
        <v>291</v>
      </c>
    </row>
    <row r="2" customFormat="false" ht="15" hidden="false" customHeight="false" outlineLevel="0" collapsed="false">
      <c r="D2" s="12" t="s">
        <v>292</v>
      </c>
    </row>
    <row r="3" customFormat="false" ht="15" hidden="false" customHeight="false" outlineLevel="0" collapsed="false">
      <c r="A3" s="11" t="s">
        <v>293</v>
      </c>
      <c r="B3" s="13" t="n">
        <f aca="false">COUNTA('130-Day Plan'!A2:A131)</f>
        <v>130</v>
      </c>
      <c r="D3" s="12" t="s">
        <v>294</v>
      </c>
    </row>
    <row r="4" customFormat="false" ht="15" hidden="false" customHeight="false" outlineLevel="0" collapsed="false">
      <c r="A4" s="11" t="s">
        <v>295</v>
      </c>
      <c r="B4" s="13" t="n">
        <f aca="false">COUNTIF('130-Day Plan'!H2:H131,"Done")</f>
        <v>0</v>
      </c>
      <c r="D4" s="12" t="s">
        <v>296</v>
      </c>
    </row>
    <row r="5" customFormat="false" ht="15" hidden="false" customHeight="false" outlineLevel="0" collapsed="false">
      <c r="A5" s="11" t="s">
        <v>297</v>
      </c>
      <c r="B5" s="13" t="n">
        <f aca="false">COUNTIF('130-Day Plan'!H2:H131,"In Progress")</f>
        <v>0</v>
      </c>
      <c r="D5" s="14" t="s">
        <v>298</v>
      </c>
    </row>
    <row r="6" customFormat="false" ht="15" hidden="false" customHeight="false" outlineLevel="0" collapsed="false">
      <c r="A6" s="11" t="s">
        <v>15</v>
      </c>
      <c r="B6" s="13" t="n">
        <f aca="false">COUNTIF('130-Day Plan'!H2:H131,"Not Started")</f>
        <v>130</v>
      </c>
    </row>
    <row r="7" customFormat="false" ht="15" hidden="false" customHeight="false" outlineLevel="0" collapsed="false">
      <c r="A7" s="11" t="s">
        <v>299</v>
      </c>
      <c r="B7" s="13" t="n">
        <f aca="false">COUNTIF('130-Day Plan'!H2:H131,"Skipped")</f>
        <v>0</v>
      </c>
    </row>
    <row r="8" customFormat="false" ht="15" hidden="false" customHeight="false" outlineLevel="0" collapsed="false">
      <c r="A8" s="11" t="s">
        <v>300</v>
      </c>
      <c r="B8" s="15" t="n">
        <f aca="false">B4/B3</f>
        <v>0</v>
      </c>
    </row>
    <row r="11" customFormat="false" ht="15" hidden="false" customHeight="false" outlineLevel="0" collapsed="false">
      <c r="A11" s="11" t="s">
        <v>301</v>
      </c>
    </row>
    <row r="12" customFormat="false" ht="15" hidden="false" customHeight="false" outlineLevel="0" collapsed="false">
      <c r="A12" s="13" t="s">
        <v>12</v>
      </c>
      <c r="B12" s="13" t="n">
        <f aca="false">COUNTIF('130-Day Plan'!D2:D131,"Easy")</f>
        <v>44</v>
      </c>
    </row>
    <row r="13" customFormat="false" ht="15" hidden="false" customHeight="false" outlineLevel="0" collapsed="false">
      <c r="A13" s="13" t="s">
        <v>21</v>
      </c>
      <c r="B13" s="13" t="n">
        <f aca="false">COUNTIF('130-Day Plan'!D2:D131,"Medium")</f>
        <v>81</v>
      </c>
    </row>
    <row r="14" customFormat="false" ht="15" hidden="false" customHeight="false" outlineLevel="0" collapsed="false">
      <c r="A14" s="13" t="s">
        <v>68</v>
      </c>
      <c r="B14" s="13" t="n">
        <f aca="false">COUNTIF('130-Day Plan'!D2:D131,"Hard")</f>
        <v>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2026-09-13T07:12:35Z</dcterms:created>
  <dc:creator>openpyxl</dc:creator>
  <dc:description/>
  <dc:language>en-US</dc:language>
  <cp:lastModifiedBy/>
  <dcterms:modified xsi:type="dcterms:W3CDTF">2026-09-13T07:12:35Z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